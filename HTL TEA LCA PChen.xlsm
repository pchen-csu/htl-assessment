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\\nasstore2.engr.colostate.edu\meu\pchen\home\Papers and presentations\Chen et al. 2021 HTL assessment\"/>
    </mc:Choice>
  </mc:AlternateContent>
  <xr:revisionPtr revIDLastSave="0" documentId="8_{2E6D5C27-098F-430A-999F-F82E6F9202C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Setup" sheetId="1" r:id="rId1"/>
    <sheet name="StreamData" sheetId="2" r:id="rId2"/>
    <sheet name="HTLEquipSize" sheetId="10" r:id="rId3"/>
    <sheet name="CostIndex" sheetId="3" r:id="rId4"/>
    <sheet name="CAPEX" sheetId="5" r:id="rId5"/>
    <sheet name="OPEX" sheetId="6" r:id="rId6"/>
    <sheet name="DCFROR" sheetId="12" r:id="rId7"/>
    <sheet name="LifeCycleInventory" sheetId="7" r:id="rId8"/>
    <sheet name="LifeCycleAssessment" sheetId="8" r:id="rId9"/>
    <sheet name="Summary" sheetId="9" r:id="rId10"/>
  </sheets>
  <externalReferences>
    <externalReference r:id="rId11"/>
  </externalReferences>
  <definedNames>
    <definedName name="ASPENDIR">Setup!$C$17</definedName>
    <definedName name="ASPENEXT">Setup!$E$17</definedName>
    <definedName name="ASPENFILE">Setup!$C$16</definedName>
    <definedName name="ASPENNAME">Setup!$D$17</definedName>
    <definedName name="ASPENUNITS">Setup!$G$16:$H$28</definedName>
    <definedName name="COSTTARGET">DCFROR!$D$26</definedName>
    <definedName name="COSTYEAR">DCFROR!$B$34</definedName>
    <definedName name="FCI">DCFROR!$L$19</definedName>
    <definedName name="FEEDAFDW">OPEX!$D$19</definedName>
    <definedName name="FEEDPRICE">DCFROR!$D$29</definedName>
    <definedName name="FILEDATE">Setup!$A$20</definedName>
    <definedName name="FILETIME">Setup!$B$20</definedName>
    <definedName name="FUELGGE">OPEX!$K$13</definedName>
    <definedName name="FUELMJPROD">LifeCycleAssessment!$K$15</definedName>
    <definedName name="FUELPROD">DCFROR!$B$33</definedName>
    <definedName name="INDEX_CAP">Setup!$M$4</definedName>
    <definedName name="INDEX_CHEM">Setup!$M$5</definedName>
    <definedName name="INDEX_ELEC">Setup!$M$7</definedName>
    <definedName name="INDEX_LABOR">Setup!$M$6</definedName>
    <definedName name="ISBL">DCFROR!$L$8</definedName>
    <definedName name="IX_CAP">'[1]Set-up'!$S$27</definedName>
    <definedName name="kg_per_lb">0.4535924</definedName>
    <definedName name="LANDCOST">DCFROR!$L$20</definedName>
    <definedName name="MFSP">DCFROR!$B$35</definedName>
    <definedName name="NGTRANSPORT">LifeCycleAssessment!$B$7</definedName>
    <definedName name="NPV">DCFROR!$B$37</definedName>
    <definedName name="NPVCAPEX">DCFROR!$B$81</definedName>
    <definedName name="NPVOPEX">DCFROR!$B$80</definedName>
    <definedName name="NPVTAX">DCFROR!$B$79</definedName>
    <definedName name="NPVTOTAL">DCFROR!$B$82</definedName>
    <definedName name="OPHOURS">OPEX!$B$4</definedName>
    <definedName name="STARTFIXEDOPEX">DCFROR!$B$28</definedName>
    <definedName name="STARTFUEL">DCFROR!$B$26</definedName>
    <definedName name="STARTUP">DCFROR!$B$25</definedName>
    <definedName name="STARTVAROPEX">DCFROR!$B$27</definedName>
    <definedName name="STREAMDATA">StreamData!$C$5:$E$1000</definedName>
    <definedName name="TCI">DCFROR!$L$22</definedName>
    <definedName name="UNITR1C1">Setup!$G$16</definedName>
    <definedName name="UPDAYS">OPEX!$B$3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10" l="1"/>
  <c r="H3" i="9" l="1"/>
  <c r="G3" i="9"/>
  <c r="F3" i="9"/>
  <c r="E3" i="9"/>
  <c r="B36" i="12" l="1"/>
  <c r="D3" i="9"/>
  <c r="K49" i="5" l="1"/>
  <c r="M49" i="5" s="1"/>
  <c r="N49" i="5" s="1"/>
  <c r="K47" i="5"/>
  <c r="M47" i="5" s="1"/>
  <c r="N47" i="5" s="1"/>
  <c r="K50" i="5"/>
  <c r="K48" i="5"/>
  <c r="K40" i="5"/>
  <c r="M40" i="5" s="1"/>
  <c r="N40" i="5" s="1"/>
  <c r="K41" i="5"/>
  <c r="M41" i="5" s="1"/>
  <c r="N41" i="5" s="1"/>
  <c r="K42" i="5"/>
  <c r="M42" i="5" s="1"/>
  <c r="N42" i="5" s="1"/>
  <c r="K43" i="5"/>
  <c r="M43" i="5" s="1"/>
  <c r="N43" i="5" s="1"/>
  <c r="K44" i="5"/>
  <c r="M44" i="5" s="1"/>
  <c r="N44" i="5" s="1"/>
  <c r="K39" i="5"/>
  <c r="M39" i="5" s="1"/>
  <c r="N39" i="5" s="1"/>
  <c r="K38" i="5"/>
  <c r="M38" i="5" s="1"/>
  <c r="N38" i="5" s="1"/>
  <c r="K37" i="5"/>
  <c r="M37" i="5" s="1"/>
  <c r="N37" i="5" s="1"/>
  <c r="F15" i="7" a="1"/>
  <c r="I15" i="7" s="1"/>
  <c r="L67" i="8" s="1"/>
  <c r="L85" i="8" s="1"/>
  <c r="J79" i="8"/>
  <c r="K79" i="8"/>
  <c r="L79" i="8"/>
  <c r="M79" i="8"/>
  <c r="N79" i="8"/>
  <c r="O79" i="8"/>
  <c r="P79" i="8"/>
  <c r="Q79" i="8"/>
  <c r="R79" i="8"/>
  <c r="I79" i="8"/>
  <c r="H15" i="7" l="1"/>
  <c r="K67" i="8" s="1"/>
  <c r="K85" i="8" s="1"/>
  <c r="G15" i="7"/>
  <c r="J67" i="8" s="1"/>
  <c r="J85" i="8" s="1"/>
  <c r="F15" i="7"/>
  <c r="I67" i="8" s="1"/>
  <c r="I85" i="8" s="1"/>
  <c r="O15" i="7"/>
  <c r="R67" i="8" s="1"/>
  <c r="R85" i="8" s="1"/>
  <c r="N15" i="7"/>
  <c r="Q67" i="8" s="1"/>
  <c r="Q85" i="8" s="1"/>
  <c r="M15" i="7"/>
  <c r="P67" i="8" s="1"/>
  <c r="P85" i="8" s="1"/>
  <c r="L15" i="7"/>
  <c r="O67" i="8" s="1"/>
  <c r="O85" i="8" s="1"/>
  <c r="K15" i="7"/>
  <c r="N67" i="8" s="1"/>
  <c r="N85" i="8" s="1"/>
  <c r="J15" i="7"/>
  <c r="M67" i="8" s="1"/>
  <c r="M85" i="8" s="1"/>
  <c r="C3" i="9" l="1"/>
  <c r="D51" i="8" l="1"/>
  <c r="G51" i="8" s="1"/>
  <c r="D44" i="8"/>
  <c r="G44" i="8" s="1"/>
  <c r="D43" i="8"/>
  <c r="G43" i="8" s="1"/>
  <c r="D61" i="8"/>
  <c r="G61" i="8" s="1"/>
  <c r="D59" i="8"/>
  <c r="G59" i="8" s="1"/>
  <c r="D58" i="8"/>
  <c r="G58" i="8" s="1"/>
  <c r="D50" i="8"/>
  <c r="G50" i="8" s="1"/>
  <c r="D49" i="8"/>
  <c r="G49" i="8" s="1"/>
  <c r="A40" i="8"/>
  <c r="D40" i="8" s="1"/>
  <c r="G40" i="8" s="1"/>
  <c r="G37" i="8"/>
  <c r="G36" i="8"/>
  <c r="A37" i="8"/>
  <c r="A38" i="8"/>
  <c r="D38" i="8" s="1"/>
  <c r="G38" i="8" s="1"/>
  <c r="A39" i="8"/>
  <c r="D39" i="8" s="1"/>
  <c r="G39" i="8" s="1"/>
  <c r="A36" i="8"/>
  <c r="A31" i="8"/>
  <c r="D31" i="8" s="1"/>
  <c r="G31" i="8" s="1"/>
  <c r="A32" i="8"/>
  <c r="D32" i="8" s="1"/>
  <c r="G32" i="8" s="1"/>
  <c r="A33" i="8"/>
  <c r="D33" i="8" s="1"/>
  <c r="G33" i="8" s="1"/>
  <c r="A30" i="8"/>
  <c r="D30" i="8" s="1"/>
  <c r="G30" i="8" s="1"/>
  <c r="A27" i="8"/>
  <c r="D27" i="8" s="1"/>
  <c r="G27" i="8" s="1"/>
  <c r="A23" i="8"/>
  <c r="D23" i="8" s="1"/>
  <c r="G23" i="8" s="1"/>
  <c r="A24" i="8"/>
  <c r="D24" i="8" s="1"/>
  <c r="G24" i="8" s="1"/>
  <c r="D22" i="8"/>
  <c r="K13" i="8"/>
  <c r="I13" i="8"/>
  <c r="D13" i="8"/>
  <c r="G12" i="8"/>
  <c r="D12" i="8"/>
  <c r="G11" i="8"/>
  <c r="D11" i="8"/>
  <c r="J7" i="8"/>
  <c r="G13" i="8" s="1"/>
  <c r="B6" i="8"/>
  <c r="B4" i="8"/>
  <c r="D60" i="8" l="1"/>
  <c r="G60" i="8" s="1"/>
  <c r="D66" i="8"/>
  <c r="G66" i="8" s="1"/>
  <c r="G22" i="8"/>
  <c r="A53" i="8"/>
  <c r="D53" i="8" s="1"/>
  <c r="G53" i="8" s="1"/>
  <c r="A52" i="8"/>
  <c r="D52" i="8" s="1"/>
  <c r="G52" i="8" s="1"/>
  <c r="D14" i="8"/>
  <c r="D19" i="6" l="1"/>
  <c r="I25" i="12" l="1"/>
  <c r="H40" i="6"/>
  <c r="H31" i="6"/>
  <c r="H30" i="6"/>
  <c r="H29" i="6"/>
  <c r="H21" i="6"/>
  <c r="H20" i="6"/>
  <c r="H39" i="6"/>
  <c r="H38" i="6"/>
  <c r="H37" i="6"/>
  <c r="H25" i="6"/>
  <c r="H19" i="6"/>
  <c r="D20" i="6" l="1"/>
  <c r="D21" i="6"/>
  <c r="D25" i="6"/>
  <c r="D29" i="6"/>
  <c r="D30" i="6"/>
  <c r="D31" i="6"/>
  <c r="D32" i="6"/>
  <c r="D38" i="6"/>
  <c r="D39" i="6"/>
  <c r="D40" i="6"/>
  <c r="Z3" i="9" l="1"/>
  <c r="K8" i="10"/>
  <c r="I8" i="10"/>
  <c r="G8" i="10"/>
  <c r="E8" i="10"/>
  <c r="I12" i="6" l="1"/>
  <c r="K12" i="6" s="1"/>
  <c r="J6" i="6"/>
  <c r="K46" i="5" s="1"/>
  <c r="K45" i="5" s="1"/>
  <c r="M45" i="5" s="1"/>
  <c r="N45" i="5" s="1"/>
  <c r="D11" i="6"/>
  <c r="D12" i="6"/>
  <c r="D10" i="6"/>
  <c r="L20" i="12"/>
  <c r="C42" i="12" s="1"/>
  <c r="B6" i="6"/>
  <c r="M6" i="5"/>
  <c r="N6" i="5" s="1"/>
  <c r="M33" i="5"/>
  <c r="N33" i="5" s="1"/>
  <c r="K32" i="5"/>
  <c r="M32" i="5" s="1"/>
  <c r="N32" i="5" s="1"/>
  <c r="K10" i="5"/>
  <c r="K9" i="5" s="1"/>
  <c r="M9" i="5" s="1"/>
  <c r="N9" i="5" s="1"/>
  <c r="K8" i="5"/>
  <c r="K7" i="5" s="1"/>
  <c r="M7" i="5" s="1"/>
  <c r="N7" i="5" s="1"/>
  <c r="K26" i="5"/>
  <c r="K25" i="5"/>
  <c r="K23" i="5"/>
  <c r="K22" i="5"/>
  <c r="K20" i="5"/>
  <c r="K19" i="5"/>
  <c r="K17" i="5"/>
  <c r="K16" i="5"/>
  <c r="H12" i="10"/>
  <c r="K7" i="10"/>
  <c r="I7" i="10"/>
  <c r="Q8" i="10"/>
  <c r="R8" i="10" s="1"/>
  <c r="Q6" i="10"/>
  <c r="R6" i="10" s="1"/>
  <c r="R5" i="10"/>
  <c r="E12" i="10"/>
  <c r="F12" i="10" s="1"/>
  <c r="C12" i="10"/>
  <c r="Q7" i="10"/>
  <c r="R7" i="10" s="1"/>
  <c r="K5" i="10"/>
  <c r="I5" i="10"/>
  <c r="G6" i="10"/>
  <c r="W3" i="9" s="1"/>
  <c r="E6" i="10"/>
  <c r="G5" i="10"/>
  <c r="E5" i="10"/>
  <c r="K24" i="5" l="1"/>
  <c r="M24" i="5" s="1"/>
  <c r="N24" i="5" s="1"/>
  <c r="K15" i="5"/>
  <c r="M15" i="5" s="1"/>
  <c r="N15" i="5" s="1"/>
  <c r="Y3" i="9"/>
  <c r="K21" i="5"/>
  <c r="M21" i="5" s="1"/>
  <c r="N21" i="5" s="1"/>
  <c r="K18" i="5"/>
  <c r="M18" i="5" s="1"/>
  <c r="N18" i="5" s="1"/>
  <c r="J12" i="10" l="1"/>
  <c r="K5" i="5"/>
  <c r="M5" i="5" s="1"/>
  <c r="N5" i="5" s="1"/>
  <c r="D13" i="6" l="1"/>
  <c r="B4" i="6"/>
  <c r="G12" i="6"/>
  <c r="G11" i="6"/>
  <c r="G10" i="6"/>
  <c r="C8" i="10"/>
  <c r="C7" i="10"/>
  <c r="C6" i="10"/>
  <c r="C5" i="10"/>
  <c r="I12" i="8" l="1"/>
  <c r="K12" i="8" s="1"/>
  <c r="I11" i="8"/>
  <c r="D30" i="12"/>
  <c r="I11" i="6"/>
  <c r="K11" i="6" s="1"/>
  <c r="I10" i="6"/>
  <c r="M7" i="10"/>
  <c r="M6" i="10"/>
  <c r="L7" i="10"/>
  <c r="L6" i="10"/>
  <c r="L5" i="10"/>
  <c r="M5" i="10"/>
  <c r="L8" i="10"/>
  <c r="M8" i="10"/>
  <c r="I14" i="8" l="1"/>
  <c r="K11" i="8"/>
  <c r="K14" i="8" s="1"/>
  <c r="K15" i="8" s="1"/>
  <c r="I13" i="6"/>
  <c r="K10" i="6"/>
  <c r="K13" i="6" s="1"/>
  <c r="N8" i="10"/>
  <c r="S8" i="10" s="1"/>
  <c r="N7" i="10"/>
  <c r="S7" i="10" s="1"/>
  <c r="N5" i="10"/>
  <c r="S5" i="10" s="1"/>
  <c r="X3" i="9" s="1"/>
  <c r="N6" i="10"/>
  <c r="S6" i="10" s="1"/>
  <c r="J61" i="8" l="1"/>
  <c r="P60" i="8"/>
  <c r="J53" i="8"/>
  <c r="P50" i="8"/>
  <c r="I44" i="8"/>
  <c r="L30" i="8"/>
  <c r="P33" i="8"/>
  <c r="P80" i="8" s="1"/>
  <c r="J31" i="8"/>
  <c r="R33" i="8"/>
  <c r="R80" i="8" s="1"/>
  <c r="L60" i="8"/>
  <c r="L52" i="8"/>
  <c r="L43" i="8"/>
  <c r="K31" i="8"/>
  <c r="P30" i="8"/>
  <c r="P31" i="8"/>
  <c r="N24" i="8"/>
  <c r="J43" i="8"/>
  <c r="O52" i="8"/>
  <c r="J49" i="8"/>
  <c r="N30" i="8"/>
  <c r="O59" i="8"/>
  <c r="M38" i="8"/>
  <c r="M51" i="8"/>
  <c r="P37" i="8"/>
  <c r="K53" i="8"/>
  <c r="R58" i="8"/>
  <c r="O43" i="8"/>
  <c r="M58" i="8"/>
  <c r="J44" i="8"/>
  <c r="L59" i="8"/>
  <c r="P43" i="8"/>
  <c r="O33" i="8"/>
  <c r="O80" i="8" s="1"/>
  <c r="L24" i="8"/>
  <c r="R38" i="8"/>
  <c r="S78" i="8"/>
  <c r="Q66" i="8"/>
  <c r="R53" i="8"/>
  <c r="P23" i="8"/>
  <c r="P66" i="8"/>
  <c r="P84" i="8" s="1"/>
  <c r="N33" i="8"/>
  <c r="N80" i="8" s="1"/>
  <c r="K33" i="8"/>
  <c r="K80" i="8" s="1"/>
  <c r="K37" i="8"/>
  <c r="I61" i="8"/>
  <c r="K43" i="8"/>
  <c r="I43" i="8"/>
  <c r="K58" i="8"/>
  <c r="I39" i="8"/>
  <c r="R39" i="8"/>
  <c r="S76" i="8"/>
  <c r="J52" i="8"/>
  <c r="J82" i="8" s="1"/>
  <c r="P49" i="8"/>
  <c r="R61" i="8"/>
  <c r="J30" i="8"/>
  <c r="R31" i="8"/>
  <c r="Q39" i="8"/>
  <c r="J23" i="8"/>
  <c r="O53" i="8"/>
  <c r="N50" i="8"/>
  <c r="R24" i="8"/>
  <c r="L23" i="8"/>
  <c r="O24" i="8"/>
  <c r="O44" i="8"/>
  <c r="O36" i="8"/>
  <c r="R59" i="8"/>
  <c r="L44" i="8"/>
  <c r="P58" i="8"/>
  <c r="I66" i="8"/>
  <c r="I84" i="8" s="1"/>
  <c r="Q36" i="8"/>
  <c r="Q52" i="8"/>
  <c r="I31" i="8"/>
  <c r="O66" i="8"/>
  <c r="O84" i="8" s="1"/>
  <c r="L31" i="8"/>
  <c r="N66" i="8"/>
  <c r="N84" i="8" s="1"/>
  <c r="L51" i="8"/>
  <c r="R52" i="8"/>
  <c r="R82" i="8" s="1"/>
  <c r="K61" i="8"/>
  <c r="P59" i="8"/>
  <c r="J66" i="8"/>
  <c r="J84" i="8" s="1"/>
  <c r="J58" i="8"/>
  <c r="L49" i="8"/>
  <c r="I23" i="8"/>
  <c r="N39" i="8"/>
  <c r="I51" i="8"/>
  <c r="R36" i="8"/>
  <c r="R60" i="8"/>
  <c r="L66" i="8"/>
  <c r="L84" i="8" s="1"/>
  <c r="J59" i="8"/>
  <c r="M59" i="8"/>
  <c r="O39" i="8"/>
  <c r="P36" i="8"/>
  <c r="O31" i="8"/>
  <c r="K60" i="8"/>
  <c r="I53" i="8"/>
  <c r="J51" i="8"/>
  <c r="L33" i="8"/>
  <c r="L80" i="8" s="1"/>
  <c r="P52" i="8"/>
  <c r="P82" i="8" s="1"/>
  <c r="M50" i="8"/>
  <c r="K38" i="8"/>
  <c r="I30" i="8"/>
  <c r="P44" i="8"/>
  <c r="J60" i="8"/>
  <c r="P24" i="8"/>
  <c r="N58" i="8"/>
  <c r="N23" i="8"/>
  <c r="L61" i="8"/>
  <c r="I58" i="8"/>
  <c r="M49" i="8"/>
  <c r="M81" i="8" s="1"/>
  <c r="M24" i="8"/>
  <c r="N59" i="8"/>
  <c r="I59" i="8"/>
  <c r="I38" i="8"/>
  <c r="R37" i="8"/>
  <c r="J24" i="8"/>
  <c r="S77" i="8"/>
  <c r="O58" i="8"/>
  <c r="I24" i="8"/>
  <c r="Q24" i="8"/>
  <c r="P38" i="8"/>
  <c r="P83" i="8" s="1"/>
  <c r="M23" i="8"/>
  <c r="L36" i="8"/>
  <c r="M30" i="8"/>
  <c r="I60" i="8"/>
  <c r="O38" i="8"/>
  <c r="O83" i="8" s="1"/>
  <c r="N31" i="8"/>
  <c r="M61" i="8"/>
  <c r="R66" i="8"/>
  <c r="R84" i="8" s="1"/>
  <c r="O61" i="8"/>
  <c r="N38" i="8"/>
  <c r="O60" i="8"/>
  <c r="N53" i="8"/>
  <c r="O30" i="8"/>
  <c r="O77" i="8" s="1"/>
  <c r="M52" i="8"/>
  <c r="Q51" i="8"/>
  <c r="Q53" i="8"/>
  <c r="I52" i="8"/>
  <c r="Q50" i="8"/>
  <c r="R49" i="8"/>
  <c r="K66" i="8"/>
  <c r="K84" i="8" s="1"/>
  <c r="M36" i="8"/>
  <c r="O37" i="8"/>
  <c r="K39" i="8"/>
  <c r="I49" i="8"/>
  <c r="M39" i="8"/>
  <c r="R43" i="8"/>
  <c r="M44" i="8"/>
  <c r="O50" i="8"/>
  <c r="O51" i="8"/>
  <c r="M60" i="8"/>
  <c r="P39" i="8"/>
  <c r="K36" i="8"/>
  <c r="R23" i="8"/>
  <c r="L58" i="8"/>
  <c r="Q43" i="8"/>
  <c r="K30" i="8"/>
  <c r="K77" i="8" s="1"/>
  <c r="Q37" i="8"/>
  <c r="J33" i="8"/>
  <c r="J80" i="8" s="1"/>
  <c r="M66" i="8"/>
  <c r="M84" i="8" s="1"/>
  <c r="M53" i="8"/>
  <c r="N44" i="8"/>
  <c r="M43" i="8"/>
  <c r="N60" i="8"/>
  <c r="P51" i="8"/>
  <c r="Q49" i="8"/>
  <c r="I36" i="8"/>
  <c r="Q23" i="8"/>
  <c r="R44" i="8"/>
  <c r="J38" i="8"/>
  <c r="Q31" i="8"/>
  <c r="I50" i="8"/>
  <c r="L50" i="8"/>
  <c r="K49" i="8"/>
  <c r="J37" i="8"/>
  <c r="L37" i="8"/>
  <c r="Q30" i="8"/>
  <c r="K44" i="8"/>
  <c r="K59" i="8"/>
  <c r="O23" i="8"/>
  <c r="R30" i="8"/>
  <c r="Q59" i="8"/>
  <c r="N51" i="8"/>
  <c r="Q60" i="8"/>
  <c r="Q33" i="8"/>
  <c r="Q80" i="8" s="1"/>
  <c r="N52" i="8"/>
  <c r="R50" i="8"/>
  <c r="P53" i="8"/>
  <c r="N49" i="8"/>
  <c r="M37" i="8"/>
  <c r="Q61" i="8"/>
  <c r="J50" i="8"/>
  <c r="J39" i="8"/>
  <c r="L39" i="8"/>
  <c r="N36" i="8"/>
  <c r="K51" i="8"/>
  <c r="O49" i="8"/>
  <c r="O81" i="8" s="1"/>
  <c r="M33" i="8"/>
  <c r="M80" i="8" s="1"/>
  <c r="K24" i="8"/>
  <c r="L53" i="8"/>
  <c r="I33" i="8"/>
  <c r="I80" i="8" s="1"/>
  <c r="K52" i="8"/>
  <c r="K82" i="8" s="1"/>
  <c r="Q38" i="8"/>
  <c r="R51" i="8"/>
  <c r="N61" i="8"/>
  <c r="J36" i="8"/>
  <c r="I37" i="8"/>
  <c r="K23" i="8"/>
  <c r="Q44" i="8"/>
  <c r="S80" i="8"/>
  <c r="Q58" i="8"/>
  <c r="M31" i="8"/>
  <c r="P61" i="8"/>
  <c r="K50" i="8"/>
  <c r="N37" i="8"/>
  <c r="N43" i="8"/>
  <c r="L38" i="8"/>
  <c r="K16" i="8"/>
  <c r="K14" i="6"/>
  <c r="T8" i="10"/>
  <c r="K11" i="5"/>
  <c r="M11" i="5" s="1"/>
  <c r="N11" i="5" s="1"/>
  <c r="T6" i="10"/>
  <c r="K30" i="5"/>
  <c r="M30" i="5" s="1"/>
  <c r="N30" i="5" s="1"/>
  <c r="T7" i="10"/>
  <c r="K31" i="5"/>
  <c r="M31" i="5" s="1"/>
  <c r="N31" i="5" s="1"/>
  <c r="T5" i="10"/>
  <c r="K4" i="5"/>
  <c r="M4" i="5" s="1"/>
  <c r="N4" i="5" s="1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C68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AI42" i="12"/>
  <c r="B23" i="12"/>
  <c r="L82" i="8" l="1"/>
  <c r="I76" i="8"/>
  <c r="Q83" i="8"/>
  <c r="L76" i="8"/>
  <c r="M82" i="8"/>
  <c r="J83" i="8"/>
  <c r="Q82" i="8"/>
  <c r="L81" i="8"/>
  <c r="Q81" i="8"/>
  <c r="J76" i="8"/>
  <c r="Q84" i="8"/>
  <c r="S84" i="8"/>
  <c r="S87" i="8" s="1"/>
  <c r="AB3" i="9" s="1"/>
  <c r="M78" i="8"/>
  <c r="M72" i="8"/>
  <c r="R77" i="8"/>
  <c r="I81" i="8"/>
  <c r="K76" i="8"/>
  <c r="R83" i="8"/>
  <c r="M83" i="8"/>
  <c r="O78" i="8"/>
  <c r="O72" i="8"/>
  <c r="Q72" i="8"/>
  <c r="Q78" i="8"/>
  <c r="I78" i="8"/>
  <c r="I72" i="8"/>
  <c r="L78" i="8"/>
  <c r="L72" i="8"/>
  <c r="N83" i="8"/>
  <c r="N78" i="8"/>
  <c r="N72" i="8"/>
  <c r="J72" i="8"/>
  <c r="J78" i="8"/>
  <c r="N77" i="8"/>
  <c r="R78" i="8"/>
  <c r="R72" i="8"/>
  <c r="O76" i="8"/>
  <c r="N76" i="8"/>
  <c r="J81" i="8"/>
  <c r="L83" i="8"/>
  <c r="N81" i="8"/>
  <c r="P76" i="8"/>
  <c r="O82" i="8"/>
  <c r="L77" i="8"/>
  <c r="Q77" i="8"/>
  <c r="R81" i="8"/>
  <c r="J77" i="8"/>
  <c r="Q76" i="8"/>
  <c r="M76" i="8"/>
  <c r="N82" i="8"/>
  <c r="K81" i="8"/>
  <c r="I82" i="8"/>
  <c r="I83" i="8"/>
  <c r="I77" i="8"/>
  <c r="P81" i="8"/>
  <c r="K83" i="8"/>
  <c r="P78" i="8"/>
  <c r="P72" i="8"/>
  <c r="R76" i="8"/>
  <c r="P77" i="8"/>
  <c r="K78" i="8"/>
  <c r="K72" i="8"/>
  <c r="M77" i="8"/>
  <c r="B33" i="12"/>
  <c r="L87" i="8" l="1"/>
  <c r="AA3" i="9" s="1"/>
  <c r="J87" i="8"/>
  <c r="Q87" i="8"/>
  <c r="AC3" i="9" s="1"/>
  <c r="I87" i="8"/>
  <c r="K87" i="8"/>
  <c r="N87" i="8"/>
  <c r="O87" i="8"/>
  <c r="P87" i="8"/>
  <c r="M87" i="8"/>
  <c r="P3" i="9" s="1" a="1"/>
  <c r="R87" i="8"/>
  <c r="F47" i="12"/>
  <c r="G47" i="12"/>
  <c r="H47" i="12"/>
  <c r="AH47" i="12"/>
  <c r="V47" i="12"/>
  <c r="J47" i="12"/>
  <c r="AE47" i="12"/>
  <c r="S47" i="12"/>
  <c r="AB47" i="12"/>
  <c r="P47" i="12"/>
  <c r="Z47" i="12"/>
  <c r="K47" i="12"/>
  <c r="Y47" i="12"/>
  <c r="I47" i="12"/>
  <c r="X47" i="12"/>
  <c r="W47" i="12"/>
  <c r="AI47" i="12"/>
  <c r="R47" i="12"/>
  <c r="AG47" i="12"/>
  <c r="Q47" i="12"/>
  <c r="AC47" i="12"/>
  <c r="AA47" i="12"/>
  <c r="U47" i="12"/>
  <c r="T47" i="12"/>
  <c r="O47" i="12"/>
  <c r="N47" i="12"/>
  <c r="AF47" i="12"/>
  <c r="M47" i="12"/>
  <c r="L47" i="12"/>
  <c r="AD47" i="12"/>
  <c r="P5" i="9" l="1"/>
  <c r="P12" i="9"/>
  <c r="P10" i="9"/>
  <c r="P11" i="9"/>
  <c r="P8" i="9"/>
  <c r="P6" i="9"/>
  <c r="P3" i="9"/>
  <c r="P7" i="9"/>
  <c r="P13" i="9"/>
  <c r="P9" i="9"/>
  <c r="P4" i="9"/>
  <c r="G51" i="12"/>
  <c r="F51" i="12"/>
  <c r="P61" i="12"/>
  <c r="X61" i="12"/>
  <c r="L61" i="12"/>
  <c r="V61" i="12"/>
  <c r="J61" i="12"/>
  <c r="U61" i="12"/>
  <c r="I61" i="12"/>
  <c r="R61" i="12"/>
  <c r="F61" i="12"/>
  <c r="F62" i="12" s="1"/>
  <c r="S61" i="12"/>
  <c r="Q61" i="12"/>
  <c r="O61" i="12"/>
  <c r="N61" i="12"/>
  <c r="H61" i="12"/>
  <c r="G61" i="12"/>
  <c r="Z61" i="12"/>
  <c r="Y61" i="12"/>
  <c r="K61" i="12"/>
  <c r="W61" i="12"/>
  <c r="T61" i="12"/>
  <c r="M61" i="12"/>
  <c r="AF51" i="12"/>
  <c r="T51" i="12"/>
  <c r="H51" i="12"/>
  <c r="AB51" i="12"/>
  <c r="P51" i="12"/>
  <c r="Z51" i="12"/>
  <c r="N51" i="12"/>
  <c r="Y51" i="12"/>
  <c r="M51" i="12"/>
  <c r="AH51" i="12"/>
  <c r="V51" i="12"/>
  <c r="J51" i="12"/>
  <c r="AE51" i="12"/>
  <c r="K51" i="12"/>
  <c r="AD51" i="12"/>
  <c r="I51" i="12"/>
  <c r="AC51" i="12"/>
  <c r="AA51" i="12"/>
  <c r="U51" i="12"/>
  <c r="S51" i="12"/>
  <c r="O51" i="12"/>
  <c r="L51" i="12"/>
  <c r="R51" i="12"/>
  <c r="Q51" i="12"/>
  <c r="AI51" i="12"/>
  <c r="AG51" i="12"/>
  <c r="X51" i="12"/>
  <c r="W51" i="12"/>
  <c r="T9" i="9" l="1"/>
  <c r="R9" i="9"/>
  <c r="R4" i="9"/>
  <c r="T4" i="9"/>
  <c r="T11" i="9"/>
  <c r="R11" i="9"/>
  <c r="T6" i="9"/>
  <c r="R6" i="9"/>
  <c r="R8" i="9"/>
  <c r="T8" i="9"/>
  <c r="R10" i="9"/>
  <c r="T10" i="9"/>
  <c r="R13" i="9"/>
  <c r="T13" i="9"/>
  <c r="R3" i="9"/>
  <c r="T3" i="9"/>
  <c r="R12" i="9"/>
  <c r="T12" i="9"/>
  <c r="R7" i="9"/>
  <c r="T7" i="9"/>
  <c r="R5" i="9"/>
  <c r="T5" i="9"/>
  <c r="G62" i="12"/>
  <c r="H62" i="12" s="1"/>
  <c r="I62" i="12" s="1"/>
  <c r="J62" i="12" s="1"/>
  <c r="K62" i="12" s="1"/>
  <c r="L62" i="12" s="1"/>
  <c r="M62" i="12" s="1"/>
  <c r="N62" i="12" s="1"/>
  <c r="O62" i="12" s="1"/>
  <c r="P62" i="12" s="1"/>
  <c r="Q62" i="12" s="1"/>
  <c r="R62" i="12" s="1"/>
  <c r="S62" i="12" s="1"/>
  <c r="T62" i="12" s="1"/>
  <c r="U62" i="12" s="1"/>
  <c r="V62" i="12" s="1"/>
  <c r="W62" i="12" s="1"/>
  <c r="X62" i="12" s="1"/>
  <c r="Y62" i="12" s="1"/>
  <c r="Z62" i="12" s="1"/>
  <c r="M5" i="1" l="1"/>
  <c r="M6" i="1"/>
  <c r="M7" i="1"/>
  <c r="M4" i="1"/>
  <c r="F36" i="6"/>
  <c r="F32" i="6"/>
  <c r="H36" i="6" l="1"/>
  <c r="H32" i="6"/>
  <c r="O45" i="5"/>
  <c r="L20" i="6"/>
  <c r="L36" i="6"/>
  <c r="G50" i="6"/>
  <c r="L29" i="6"/>
  <c r="L21" i="6"/>
  <c r="O33" i="5"/>
  <c r="G55" i="6"/>
  <c r="O47" i="5"/>
  <c r="G54" i="6"/>
  <c r="G48" i="6"/>
  <c r="L37" i="6"/>
  <c r="O32" i="5"/>
  <c r="G56" i="6"/>
  <c r="G49" i="6"/>
  <c r="L32" i="6"/>
  <c r="L39" i="6"/>
  <c r="O24" i="5"/>
  <c r="O38" i="5"/>
  <c r="O11" i="5"/>
  <c r="O43" i="5"/>
  <c r="O49" i="5"/>
  <c r="O21" i="5"/>
  <c r="O5" i="5"/>
  <c r="O39" i="5"/>
  <c r="G51" i="6"/>
  <c r="O15" i="5"/>
  <c r="O37" i="5"/>
  <c r="L31" i="6"/>
  <c r="O6" i="5"/>
  <c r="O9" i="5"/>
  <c r="O18" i="5"/>
  <c r="O42" i="5"/>
  <c r="G52" i="6"/>
  <c r="O31" i="5"/>
  <c r="L38" i="6"/>
  <c r="L25" i="6"/>
  <c r="O4" i="5"/>
  <c r="G53" i="6"/>
  <c r="L19" i="6"/>
  <c r="L40" i="6"/>
  <c r="O7" i="5"/>
  <c r="O30" i="5"/>
  <c r="O41" i="5"/>
  <c r="G57" i="6"/>
  <c r="O44" i="5"/>
  <c r="O40" i="5"/>
  <c r="L30" i="6"/>
  <c r="T45" i="5" l="1"/>
  <c r="P45" i="5"/>
  <c r="U45" i="5" s="1"/>
  <c r="P42" i="5"/>
  <c r="U42" i="5" s="1"/>
  <c r="T42" i="5"/>
  <c r="H51" i="6"/>
  <c r="P43" i="5"/>
  <c r="U43" i="5" s="1"/>
  <c r="T43" i="5"/>
  <c r="T18" i="5"/>
  <c r="P18" i="5"/>
  <c r="U18" i="5" s="1"/>
  <c r="P30" i="5"/>
  <c r="U30" i="5" s="1"/>
  <c r="T30" i="5"/>
  <c r="P49" i="5"/>
  <c r="U49" i="5" s="1"/>
  <c r="T49" i="5"/>
  <c r="P32" i="5"/>
  <c r="U32" i="5" s="1"/>
  <c r="T32" i="5"/>
  <c r="H55" i="6"/>
  <c r="P47" i="5"/>
  <c r="U47" i="5" s="1"/>
  <c r="T47" i="5"/>
  <c r="L23" i="6"/>
  <c r="I27" i="12" s="1"/>
  <c r="T15" i="5"/>
  <c r="P15" i="5"/>
  <c r="U15" i="5" s="1"/>
  <c r="H48" i="6"/>
  <c r="T41" i="5"/>
  <c r="P41" i="5"/>
  <c r="U41" i="5" s="1"/>
  <c r="P7" i="5"/>
  <c r="U7" i="5" s="1"/>
  <c r="T7" i="5"/>
  <c r="H49" i="6"/>
  <c r="H54" i="6"/>
  <c r="T38" i="5"/>
  <c r="P38" i="5"/>
  <c r="U38" i="5" s="1"/>
  <c r="H52" i="6"/>
  <c r="P31" i="5"/>
  <c r="U31" i="5" s="1"/>
  <c r="T31" i="5"/>
  <c r="P40" i="5"/>
  <c r="U40" i="5" s="1"/>
  <c r="T40" i="5"/>
  <c r="T11" i="5"/>
  <c r="P11" i="5"/>
  <c r="U11" i="5" s="1"/>
  <c r="H50" i="6"/>
  <c r="P9" i="5"/>
  <c r="U9" i="5" s="1"/>
  <c r="T9" i="5"/>
  <c r="L27" i="6"/>
  <c r="I28" i="12" s="1"/>
  <c r="T21" i="5"/>
  <c r="P21" i="5"/>
  <c r="U21" i="5" s="1"/>
  <c r="H53" i="6"/>
  <c r="P44" i="5"/>
  <c r="U44" i="5" s="1"/>
  <c r="T44" i="5"/>
  <c r="H57" i="6"/>
  <c r="P33" i="5"/>
  <c r="U33" i="5" s="1"/>
  <c r="T33" i="5"/>
  <c r="T6" i="5"/>
  <c r="P6" i="5"/>
  <c r="U6" i="5" s="1"/>
  <c r="T39" i="5"/>
  <c r="P39" i="5"/>
  <c r="U39" i="5" s="1"/>
  <c r="H56" i="6"/>
  <c r="T24" i="5"/>
  <c r="P24" i="5"/>
  <c r="U24" i="5" s="1"/>
  <c r="P5" i="5"/>
  <c r="U5" i="5" s="1"/>
  <c r="T5" i="5"/>
  <c r="T4" i="5"/>
  <c r="P4" i="5"/>
  <c r="U4" i="5" s="1"/>
  <c r="T37" i="5"/>
  <c r="P37" i="5"/>
  <c r="U37" i="5" s="1"/>
  <c r="L42" i="6"/>
  <c r="L34" i="6"/>
  <c r="T28" i="5" l="1"/>
  <c r="J5" i="12" s="1"/>
  <c r="U28" i="5"/>
  <c r="K5" i="12" s="1"/>
  <c r="L5" i="12" s="1"/>
  <c r="U35" i="5"/>
  <c r="K6" i="12" s="1"/>
  <c r="L6" i="12" s="1"/>
  <c r="T35" i="5"/>
  <c r="J6" i="12" s="1"/>
  <c r="U13" i="5"/>
  <c r="K4" i="12" s="1"/>
  <c r="L4" i="12" s="1"/>
  <c r="T13" i="5"/>
  <c r="J4" i="12" s="1"/>
  <c r="H59" i="6"/>
  <c r="U52" i="5"/>
  <c r="K7" i="12" s="1"/>
  <c r="L7" i="12" s="1"/>
  <c r="T52" i="5"/>
  <c r="J7" i="12" s="1"/>
  <c r="I31" i="12"/>
  <c r="L43" i="6"/>
  <c r="I29" i="12"/>
  <c r="I30" i="12" s="1"/>
  <c r="U53" i="5" l="1"/>
  <c r="U54" i="5" s="1"/>
  <c r="I33" i="12"/>
  <c r="H62" i="6"/>
  <c r="T53" i="5"/>
  <c r="J8" i="12"/>
  <c r="L8" i="12"/>
  <c r="K8" i="12"/>
  <c r="F53" i="12"/>
  <c r="G53" i="12"/>
  <c r="F48" i="12"/>
  <c r="F49" i="12" s="1"/>
  <c r="G48" i="12"/>
  <c r="U56" i="5" l="1"/>
  <c r="U55" i="5"/>
  <c r="H63" i="6"/>
  <c r="K5" i="9"/>
  <c r="K6" i="9"/>
  <c r="K3" i="9"/>
  <c r="K4" i="9"/>
  <c r="L9" i="12"/>
  <c r="L10" i="12"/>
  <c r="L11" i="12"/>
  <c r="H53" i="12"/>
  <c r="H48" i="12"/>
  <c r="G49" i="12"/>
  <c r="U57" i="5" l="1"/>
  <c r="U58" i="5" s="1"/>
  <c r="L12" i="12"/>
  <c r="L17" i="12" s="1"/>
  <c r="I48" i="12"/>
  <c r="H49" i="12"/>
  <c r="I53" i="12"/>
  <c r="U60" i="5" l="1"/>
  <c r="U62" i="5"/>
  <c r="U61" i="5"/>
  <c r="U59" i="5"/>
  <c r="L15" i="12"/>
  <c r="L14" i="12"/>
  <c r="L13" i="12"/>
  <c r="L16" i="12"/>
  <c r="J48" i="12"/>
  <c r="I49" i="12"/>
  <c r="J53" i="12"/>
  <c r="U63" i="5" l="1"/>
  <c r="U64" i="5" s="1"/>
  <c r="H64" i="6" s="1"/>
  <c r="H66" i="6" s="1"/>
  <c r="H67" i="6" s="1"/>
  <c r="K69" i="6" s="1"/>
  <c r="L18" i="12"/>
  <c r="L19" i="12" s="1"/>
  <c r="B5" i="12" s="1"/>
  <c r="K48" i="12"/>
  <c r="J49" i="12"/>
  <c r="K53" i="12"/>
  <c r="I34" i="12" l="1"/>
  <c r="I35" i="12" s="1"/>
  <c r="G54" i="12" s="1"/>
  <c r="U65" i="5"/>
  <c r="U66" i="5" s="1"/>
  <c r="L21" i="12"/>
  <c r="L22" i="12" s="1"/>
  <c r="B81" i="12" s="1"/>
  <c r="D41" i="12"/>
  <c r="B11" i="12"/>
  <c r="O44" i="12" s="1"/>
  <c r="C41" i="12"/>
  <c r="B4" i="12"/>
  <c r="E43" i="12" s="1"/>
  <c r="AI43" i="12" s="1"/>
  <c r="E41" i="12"/>
  <c r="C46" i="12"/>
  <c r="C45" i="12" s="1"/>
  <c r="K58" i="12"/>
  <c r="M58" i="12"/>
  <c r="F58" i="12"/>
  <c r="F59" i="12" s="1"/>
  <c r="L58" i="12"/>
  <c r="G58" i="12"/>
  <c r="I58" i="12"/>
  <c r="H58" i="12"/>
  <c r="J58" i="12"/>
  <c r="L48" i="12"/>
  <c r="K49" i="12"/>
  <c r="L53" i="12"/>
  <c r="I36" i="12" l="1"/>
  <c r="I37" i="12" s="1"/>
  <c r="F54" i="12"/>
  <c r="F55" i="12" s="1"/>
  <c r="F80" i="12" s="1"/>
  <c r="K7" i="9"/>
  <c r="I44" i="12"/>
  <c r="N44" i="12"/>
  <c r="F44" i="12"/>
  <c r="J44" i="12"/>
  <c r="G44" i="12"/>
  <c r="M44" i="12"/>
  <c r="L44" i="12"/>
  <c r="H44" i="12"/>
  <c r="K44" i="12"/>
  <c r="C70" i="12"/>
  <c r="D46" i="12"/>
  <c r="D45" i="12" s="1"/>
  <c r="D70" i="12" s="1"/>
  <c r="F45" i="12"/>
  <c r="G59" i="12"/>
  <c r="H59" i="12" s="1"/>
  <c r="I59" i="12" s="1"/>
  <c r="J59" i="12" s="1"/>
  <c r="K59" i="12" s="1"/>
  <c r="L59" i="12" s="1"/>
  <c r="M59" i="12" s="1"/>
  <c r="H54" i="12"/>
  <c r="G55" i="12"/>
  <c r="M48" i="12"/>
  <c r="L49" i="12"/>
  <c r="M53" i="12"/>
  <c r="F63" i="12" l="1"/>
  <c r="F65" i="12" s="1"/>
  <c r="G64" i="12" s="1"/>
  <c r="F46" i="12"/>
  <c r="G45" i="12" s="1"/>
  <c r="G63" i="12" s="1"/>
  <c r="E46" i="12"/>
  <c r="E45" i="12" s="1"/>
  <c r="E70" i="12" s="1"/>
  <c r="G80" i="12"/>
  <c r="I54" i="12"/>
  <c r="H55" i="12"/>
  <c r="N48" i="12"/>
  <c r="M49" i="12"/>
  <c r="N53" i="12"/>
  <c r="F66" i="12" l="1"/>
  <c r="F67" i="12" s="1"/>
  <c r="F69" i="12" s="1"/>
  <c r="G46" i="12"/>
  <c r="H45" i="12" s="1"/>
  <c r="H46" i="12" s="1"/>
  <c r="I45" i="12" s="1"/>
  <c r="I46" i="12" s="1"/>
  <c r="J45" i="12" s="1"/>
  <c r="J46" i="12" s="1"/>
  <c r="K45" i="12" s="1"/>
  <c r="K46" i="12" s="1"/>
  <c r="L45" i="12" s="1"/>
  <c r="L46" i="12" s="1"/>
  <c r="H80" i="12"/>
  <c r="J54" i="12"/>
  <c r="I55" i="12"/>
  <c r="G65" i="12"/>
  <c r="O48" i="12"/>
  <c r="N49" i="12"/>
  <c r="O53" i="12"/>
  <c r="F79" i="12" l="1"/>
  <c r="H63" i="12"/>
  <c r="H64" i="12"/>
  <c r="G66" i="12"/>
  <c r="I80" i="12"/>
  <c r="I63" i="12"/>
  <c r="K54" i="12"/>
  <c r="J55" i="12"/>
  <c r="M45" i="12"/>
  <c r="M46" i="12" s="1"/>
  <c r="P48" i="12"/>
  <c r="O49" i="12"/>
  <c r="P53" i="12"/>
  <c r="H65" i="12" l="1"/>
  <c r="I64" i="12" s="1"/>
  <c r="I65" i="12" s="1"/>
  <c r="N45" i="12"/>
  <c r="N46" i="12" s="1"/>
  <c r="L54" i="12"/>
  <c r="K55" i="12"/>
  <c r="J80" i="12"/>
  <c r="J63" i="12"/>
  <c r="G79" i="12"/>
  <c r="G67" i="12"/>
  <c r="G69" i="12" s="1"/>
  <c r="Q53" i="12"/>
  <c r="Q48" i="12"/>
  <c r="P49" i="12"/>
  <c r="H66" i="12" l="1"/>
  <c r="H67" i="12" s="1"/>
  <c r="H69" i="12" s="1"/>
  <c r="J64" i="12"/>
  <c r="J65" i="12" s="1"/>
  <c r="I66" i="12"/>
  <c r="M54" i="12"/>
  <c r="L55" i="12"/>
  <c r="O45" i="12"/>
  <c r="O46" i="12" s="1"/>
  <c r="K80" i="12"/>
  <c r="K63" i="12"/>
  <c r="R53" i="12"/>
  <c r="R48" i="12"/>
  <c r="Q49" i="12"/>
  <c r="H79" i="12" l="1"/>
  <c r="N54" i="12"/>
  <c r="M55" i="12"/>
  <c r="P45" i="12"/>
  <c r="P46" i="12" s="1"/>
  <c r="I79" i="12"/>
  <c r="I67" i="12"/>
  <c r="I69" i="12" s="1"/>
  <c r="L80" i="12"/>
  <c r="L63" i="12"/>
  <c r="K64" i="12"/>
  <c r="K65" i="12" s="1"/>
  <c r="J66" i="12"/>
  <c r="S53" i="12"/>
  <c r="S48" i="12"/>
  <c r="R49" i="12"/>
  <c r="J79" i="12" l="1"/>
  <c r="J67" i="12"/>
  <c r="J69" i="12" s="1"/>
  <c r="Q45" i="12"/>
  <c r="Q46" i="12" s="1"/>
  <c r="L64" i="12"/>
  <c r="L65" i="12" s="1"/>
  <c r="K66" i="12"/>
  <c r="M80" i="12"/>
  <c r="M63" i="12"/>
  <c r="O54" i="12"/>
  <c r="N55" i="12"/>
  <c r="T53" i="12"/>
  <c r="T48" i="12"/>
  <c r="S49" i="12"/>
  <c r="P54" i="12" l="1"/>
  <c r="O55" i="12"/>
  <c r="M64" i="12"/>
  <c r="M65" i="12" s="1"/>
  <c r="L66" i="12"/>
  <c r="N80" i="12"/>
  <c r="N63" i="12"/>
  <c r="K79" i="12"/>
  <c r="K67" i="12"/>
  <c r="K69" i="12" s="1"/>
  <c r="R45" i="12"/>
  <c r="R46" i="12" s="1"/>
  <c r="U48" i="12"/>
  <c r="T49" i="12"/>
  <c r="U53" i="12"/>
  <c r="N64" i="12" l="1"/>
  <c r="N65" i="12" s="1"/>
  <c r="M66" i="12"/>
  <c r="S45" i="12"/>
  <c r="S46" i="12" s="1"/>
  <c r="L79" i="12"/>
  <c r="L67" i="12"/>
  <c r="L69" i="12" s="1"/>
  <c r="O80" i="12"/>
  <c r="O63" i="12"/>
  <c r="Q54" i="12"/>
  <c r="P55" i="12"/>
  <c r="V48" i="12"/>
  <c r="U49" i="12"/>
  <c r="V53" i="12"/>
  <c r="O64" i="12" l="1"/>
  <c r="O65" i="12" s="1"/>
  <c r="N66" i="12"/>
  <c r="T45" i="12"/>
  <c r="T46" i="12" s="1"/>
  <c r="P80" i="12"/>
  <c r="P63" i="12"/>
  <c r="R54" i="12"/>
  <c r="Q55" i="12"/>
  <c r="M79" i="12"/>
  <c r="M67" i="12"/>
  <c r="M69" i="12" s="1"/>
  <c r="W53" i="12"/>
  <c r="W48" i="12"/>
  <c r="V49" i="12"/>
  <c r="U45" i="12" l="1"/>
  <c r="U46" i="12" s="1"/>
  <c r="P64" i="12"/>
  <c r="P65" i="12" s="1"/>
  <c r="O66" i="12"/>
  <c r="N79" i="12"/>
  <c r="N67" i="12"/>
  <c r="N69" i="12" s="1"/>
  <c r="Q80" i="12"/>
  <c r="Q63" i="12"/>
  <c r="S54" i="12"/>
  <c r="R55" i="12"/>
  <c r="X48" i="12"/>
  <c r="W49" i="12"/>
  <c r="X53" i="12"/>
  <c r="Q64" i="12" l="1"/>
  <c r="Q65" i="12" s="1"/>
  <c r="P66" i="12"/>
  <c r="O79" i="12"/>
  <c r="O67" i="12"/>
  <c r="O69" i="12" s="1"/>
  <c r="R80" i="12"/>
  <c r="R63" i="12"/>
  <c r="T54" i="12"/>
  <c r="S55" i="12"/>
  <c r="V45" i="12"/>
  <c r="V46" i="12" s="1"/>
  <c r="Y53" i="12"/>
  <c r="Y48" i="12"/>
  <c r="X49" i="12"/>
  <c r="W45" i="12" l="1"/>
  <c r="W46" i="12" s="1"/>
  <c r="S80" i="12"/>
  <c r="S63" i="12"/>
  <c r="P79" i="12"/>
  <c r="P67" i="12"/>
  <c r="P69" i="12" s="1"/>
  <c r="U54" i="12"/>
  <c r="T55" i="12"/>
  <c r="Q66" i="12"/>
  <c r="R64" i="12"/>
  <c r="R65" i="12" s="1"/>
  <c r="Z48" i="12"/>
  <c r="Y49" i="12"/>
  <c r="Z53" i="12"/>
  <c r="Q79" i="12" l="1"/>
  <c r="Q67" i="12"/>
  <c r="Q69" i="12" s="1"/>
  <c r="R66" i="12"/>
  <c r="S64" i="12"/>
  <c r="S65" i="12" s="1"/>
  <c r="X45" i="12"/>
  <c r="X46" i="12" s="1"/>
  <c r="T80" i="12"/>
  <c r="T63" i="12"/>
  <c r="V54" i="12"/>
  <c r="U55" i="12"/>
  <c r="AA48" i="12"/>
  <c r="Z49" i="12"/>
  <c r="AA53" i="12"/>
  <c r="S66" i="12" l="1"/>
  <c r="T64" i="12"/>
  <c r="T65" i="12" s="1"/>
  <c r="Y45" i="12"/>
  <c r="Y46" i="12" s="1"/>
  <c r="AI45" i="12"/>
  <c r="R79" i="12"/>
  <c r="R67" i="12"/>
  <c r="R69" i="12" s="1"/>
  <c r="U80" i="12"/>
  <c r="U63" i="12"/>
  <c r="W54" i="12"/>
  <c r="V55" i="12"/>
  <c r="AB48" i="12"/>
  <c r="AA49" i="12"/>
  <c r="AB53" i="12"/>
  <c r="Z45" i="12" l="1"/>
  <c r="Z46" i="12" s="1"/>
  <c r="AI46" i="12"/>
  <c r="AI70" i="12"/>
  <c r="X54" i="12"/>
  <c r="W55" i="12"/>
  <c r="V80" i="12"/>
  <c r="V63" i="12"/>
  <c r="U64" i="12"/>
  <c r="U65" i="12" s="1"/>
  <c r="T66" i="12"/>
  <c r="S79" i="12"/>
  <c r="S67" i="12"/>
  <c r="S69" i="12" s="1"/>
  <c r="AC53" i="12"/>
  <c r="AC48" i="12"/>
  <c r="AB49" i="12"/>
  <c r="AA45" i="12" l="1"/>
  <c r="AA46" i="12" s="1"/>
  <c r="V64" i="12"/>
  <c r="V65" i="12" s="1"/>
  <c r="U66" i="12"/>
  <c r="T79" i="12"/>
  <c r="T67" i="12"/>
  <c r="T69" i="12" s="1"/>
  <c r="W80" i="12"/>
  <c r="W63" i="12"/>
  <c r="Y54" i="12"/>
  <c r="X55" i="12"/>
  <c r="AD53" i="12"/>
  <c r="AD48" i="12"/>
  <c r="AC49" i="12"/>
  <c r="X80" i="12" l="1"/>
  <c r="X63" i="12"/>
  <c r="Z54" i="12"/>
  <c r="Y55" i="12"/>
  <c r="AB45" i="12"/>
  <c r="AB46" i="12" s="1"/>
  <c r="V66" i="12"/>
  <c r="W64" i="12"/>
  <c r="W65" i="12" s="1"/>
  <c r="U79" i="12"/>
  <c r="U67" i="12"/>
  <c r="U69" i="12" s="1"/>
  <c r="AE48" i="12"/>
  <c r="AD49" i="12"/>
  <c r="AE53" i="12"/>
  <c r="AC45" i="12" l="1"/>
  <c r="AC46" i="12" s="1"/>
  <c r="X64" i="12"/>
  <c r="X65" i="12" s="1"/>
  <c r="W66" i="12"/>
  <c r="V79" i="12"/>
  <c r="V67" i="12"/>
  <c r="V69" i="12" s="1"/>
  <c r="Y80" i="12"/>
  <c r="Y63" i="12"/>
  <c r="AA54" i="12"/>
  <c r="Z55" i="12"/>
  <c r="AF53" i="12"/>
  <c r="AF48" i="12"/>
  <c r="AE49" i="12"/>
  <c r="Y64" i="12" l="1"/>
  <c r="Y65" i="12" s="1"/>
  <c r="X66" i="12"/>
  <c r="Z80" i="12"/>
  <c r="Z63" i="12"/>
  <c r="W79" i="12"/>
  <c r="W67" i="12"/>
  <c r="W69" i="12" s="1"/>
  <c r="AD45" i="12"/>
  <c r="AD46" i="12" s="1"/>
  <c r="AB54" i="12"/>
  <c r="AA55" i="12"/>
  <c r="AG48" i="12"/>
  <c r="AF49" i="12"/>
  <c r="AG53" i="12"/>
  <c r="AC54" i="12" l="1"/>
  <c r="AB55" i="12"/>
  <c r="Y66" i="12"/>
  <c r="Z64" i="12"/>
  <c r="Z65" i="12" s="1"/>
  <c r="X79" i="12"/>
  <c r="X67" i="12"/>
  <c r="X69" i="12" s="1"/>
  <c r="AA80" i="12"/>
  <c r="AA63" i="12"/>
  <c r="AE45" i="12"/>
  <c r="AE46" i="12" s="1"/>
  <c r="AH53" i="12"/>
  <c r="AH48" i="12"/>
  <c r="AG49" i="12"/>
  <c r="AA64" i="12" l="1"/>
  <c r="AA65" i="12" s="1"/>
  <c r="Z66" i="12"/>
  <c r="Y79" i="12"/>
  <c r="Y67" i="12"/>
  <c r="Y69" i="12" s="1"/>
  <c r="AD54" i="12"/>
  <c r="AC55" i="12"/>
  <c r="AF45" i="12"/>
  <c r="AF46" i="12" s="1"/>
  <c r="AB80" i="12"/>
  <c r="AB63" i="12"/>
  <c r="AI48" i="12"/>
  <c r="AI49" i="12" s="1"/>
  <c r="AH49" i="12"/>
  <c r="AI53" i="12"/>
  <c r="AG45" i="12" l="1"/>
  <c r="AG46" i="12" s="1"/>
  <c r="AA66" i="12"/>
  <c r="AB64" i="12"/>
  <c r="AB65" i="12" s="1"/>
  <c r="Z79" i="12"/>
  <c r="Z67" i="12"/>
  <c r="Z69" i="12" s="1"/>
  <c r="AC80" i="12"/>
  <c r="AC63" i="12"/>
  <c r="AE54" i="12"/>
  <c r="AD55" i="12"/>
  <c r="AF54" i="12" l="1"/>
  <c r="AE55" i="12"/>
  <c r="AH45" i="12"/>
  <c r="AH46" i="12" s="1"/>
  <c r="AD80" i="12"/>
  <c r="AD63" i="12"/>
  <c r="AC64" i="12"/>
  <c r="AC65" i="12" s="1"/>
  <c r="AB66" i="12"/>
  <c r="AA79" i="12"/>
  <c r="AA67" i="12"/>
  <c r="AA69" i="12" s="1"/>
  <c r="AB79" i="12" l="1"/>
  <c r="AB67" i="12"/>
  <c r="AB69" i="12" s="1"/>
  <c r="AG54" i="12"/>
  <c r="AF55" i="12"/>
  <c r="AC66" i="12"/>
  <c r="AD64" i="12"/>
  <c r="AD65" i="12" s="1"/>
  <c r="AE80" i="12"/>
  <c r="AE63" i="12"/>
  <c r="AC79" i="12" l="1"/>
  <c r="AC67" i="12"/>
  <c r="AC69" i="12" s="1"/>
  <c r="AH54" i="12"/>
  <c r="AG55" i="12"/>
  <c r="AD66" i="12"/>
  <c r="AE64" i="12"/>
  <c r="AE65" i="12" s="1"/>
  <c r="AF80" i="12"/>
  <c r="AF63" i="12"/>
  <c r="AE66" i="12" l="1"/>
  <c r="AF64" i="12"/>
  <c r="AF65" i="12" s="1"/>
  <c r="AG80" i="12"/>
  <c r="AG63" i="12"/>
  <c r="AI54" i="12"/>
  <c r="AI55" i="12" s="1"/>
  <c r="AH55" i="12"/>
  <c r="AD79" i="12"/>
  <c r="AD67" i="12"/>
  <c r="AD69" i="12" s="1"/>
  <c r="AI80" i="12" l="1"/>
  <c r="AI63" i="12"/>
  <c r="AE79" i="12"/>
  <c r="AE67" i="12"/>
  <c r="AE69" i="12" s="1"/>
  <c r="AF66" i="12"/>
  <c r="AG64" i="12"/>
  <c r="AG65" i="12" s="1"/>
  <c r="AH80" i="12"/>
  <c r="AH63" i="12"/>
  <c r="B80" i="12" l="1"/>
  <c r="AH64" i="12"/>
  <c r="AH65" i="12" s="1"/>
  <c r="AG66" i="12"/>
  <c r="AF79" i="12"/>
  <c r="AF67" i="12"/>
  <c r="AF69" i="12" s="1"/>
  <c r="AI64" i="12" l="1"/>
  <c r="AI65" i="12" s="1"/>
  <c r="AI66" i="12" s="1"/>
  <c r="AH66" i="12"/>
  <c r="AG79" i="12"/>
  <c r="AG67" i="12"/>
  <c r="AG69" i="12" s="1"/>
  <c r="AH79" i="12" l="1"/>
  <c r="AH67" i="12"/>
  <c r="AH69" i="12" s="1"/>
  <c r="AI79" i="12"/>
  <c r="AI67" i="12"/>
  <c r="AI69" i="12" s="1"/>
  <c r="B69" i="12" l="1"/>
  <c r="E71" i="12" s="1"/>
  <c r="B37" i="12" s="1"/>
  <c r="B79" i="12"/>
  <c r="B82" i="12" l="1"/>
  <c r="C6" i="9" s="1"/>
  <c r="C9" i="9" l="1"/>
  <c r="D9" i="9" s="1"/>
  <c r="D6" i="9"/>
  <c r="C4" i="9"/>
  <c r="C5" i="9"/>
  <c r="D5" i="9" s="1"/>
  <c r="C8" i="9"/>
  <c r="D8" i="9" s="1"/>
  <c r="E11" i="9"/>
  <c r="C10" i="9"/>
  <c r="D10" i="9" s="1"/>
  <c r="C7" i="9"/>
  <c r="D7" i="9" s="1"/>
  <c r="G16" i="9" l="1"/>
  <c r="D4" i="9"/>
  <c r="E13" i="9"/>
  <c r="E12" i="9"/>
  <c r="E15" i="9"/>
  <c r="E14" i="9"/>
  <c r="L4" i="9"/>
  <c r="L6" i="9"/>
  <c r="L5" i="9"/>
  <c r="F11" i="9"/>
  <c r="L3" i="9"/>
  <c r="H16" i="9" l="1"/>
  <c r="F15" i="9"/>
  <c r="F13" i="9"/>
  <c r="F12" i="9"/>
  <c r="F14" i="9"/>
  <c r="M3" i="9"/>
  <c r="M6" i="9"/>
  <c r="M4" i="9"/>
  <c r="M5" i="9"/>
  <c r="L7" i="9"/>
  <c r="M7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Chen</author>
  </authors>
  <commentList>
    <comment ref="B2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Peter Chen:</t>
        </r>
        <r>
          <rPr>
            <sz val="9"/>
            <color indexed="81"/>
            <rFont val="Tahoma"/>
            <family val="2"/>
          </rPr>
          <t xml:space="preserve">
See cultivation impacts below</t>
        </r>
      </text>
    </comment>
    <comment ref="B60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Peter Chen:</t>
        </r>
        <r>
          <rPr>
            <sz val="9"/>
            <color indexed="81"/>
            <rFont val="Tahoma"/>
            <family val="2"/>
          </rPr>
          <t xml:space="preserve">
Based on Davis et al. (2012), https://www.nrel.gov/docs/fy12osti/55431.pdf</t>
        </r>
      </text>
    </comment>
  </commentList>
</comments>
</file>

<file path=xl/sharedStrings.xml><?xml version="1.0" encoding="utf-8"?>
<sst xmlns="http://schemas.openxmlformats.org/spreadsheetml/2006/main" count="1699" uniqueCount="807">
  <si>
    <t>ALGAE HYDROTHERMAL LIQUEFACTION</t>
  </si>
  <si>
    <t>TECHNO-ECONOMIC ANALYSIS AND LIFE-CYCLE ASSESSMENT</t>
  </si>
  <si>
    <t>Jones et al. (2014)</t>
  </si>
  <si>
    <t>Knorr et al. (2013)</t>
  </si>
  <si>
    <t>https://www.energy.gov/sites/prod/files/2014/05/f15/pnnl_whole_algae_liquefaction.pdf</t>
  </si>
  <si>
    <t>https://www.nrel.gov/docs/fy14osti/60462.pdf</t>
  </si>
  <si>
    <t>Supplemental material to</t>
  </si>
  <si>
    <t>Chen &amp; Quinn (2020)</t>
  </si>
  <si>
    <t>Parameter</t>
  </si>
  <si>
    <t>Units</t>
  </si>
  <si>
    <t>MASS-FLOW</t>
  </si>
  <si>
    <t>ENTHALPY-FLO</t>
  </si>
  <si>
    <t>MOLE-FLOW</t>
  </si>
  <si>
    <t>VOLUME-FLOW</t>
  </si>
  <si>
    <t>TEMPERATURE</t>
  </si>
  <si>
    <t>PRESSURE</t>
  </si>
  <si>
    <t>MOLE-ENTHALP</t>
  </si>
  <si>
    <t>MASS-ENTHALP</t>
  </si>
  <si>
    <t>MASS-ENTROPY</t>
  </si>
  <si>
    <t>MOLE-ENTROPY</t>
  </si>
  <si>
    <t>MASS-DENSITY</t>
  </si>
  <si>
    <t>MOLE-DENSITY</t>
  </si>
  <si>
    <t>POWER</t>
  </si>
  <si>
    <t>KG/HR</t>
  </si>
  <si>
    <t>MMKCAL/HR</t>
  </si>
  <si>
    <t>KMOL/HR</t>
  </si>
  <si>
    <t>L/MIN</t>
  </si>
  <si>
    <t>C</t>
  </si>
  <si>
    <t>ATM</t>
  </si>
  <si>
    <t>CAL/MOL</t>
  </si>
  <si>
    <t>KCAL/KG</t>
  </si>
  <si>
    <t>CAL/MOL-K</t>
  </si>
  <si>
    <t>KCAL/KG-K</t>
  </si>
  <si>
    <t>GM/CC</t>
  </si>
  <si>
    <t>MOL/CC</t>
  </si>
  <si>
    <t>KW</t>
  </si>
  <si>
    <t>LOOKUP STRINGS</t>
  </si>
  <si>
    <t>Data set</t>
  </si>
  <si>
    <t>Sheet</t>
  </si>
  <si>
    <t>Start column</t>
  </si>
  <si>
    <t>Start row</t>
  </si>
  <si>
    <t>End column</t>
  </si>
  <si>
    <t>End row</t>
  </si>
  <si>
    <t>Capital index</t>
  </si>
  <si>
    <t>Chemical index</t>
  </si>
  <si>
    <t>Labor index</t>
  </si>
  <si>
    <t>CostIndex</t>
  </si>
  <si>
    <t>String</t>
  </si>
  <si>
    <t>B</t>
  </si>
  <si>
    <t>O</t>
  </si>
  <si>
    <t>INDEX_CAP</t>
  </si>
  <si>
    <t>INDEX_CHEM</t>
  </si>
  <si>
    <t>INDEX_ELEC</t>
  </si>
  <si>
    <t>INDEX_LABOR</t>
  </si>
  <si>
    <t>Assumptions</t>
  </si>
  <si>
    <t>Value</t>
  </si>
  <si>
    <t>Equity</t>
  </si>
  <si>
    <t>Quote year</t>
  </si>
  <si>
    <t>of ISBL</t>
  </si>
  <si>
    <t>Not permitted since 2002</t>
  </si>
  <si>
    <t>of TDC</t>
  </si>
  <si>
    <t>IRS Pub 946</t>
  </si>
  <si>
    <t>of FCI</t>
  </si>
  <si>
    <t>Short et. al</t>
  </si>
  <si>
    <t>Year</t>
  </si>
  <si>
    <t>Land</t>
  </si>
  <si>
    <t xml:space="preserve"> </t>
  </si>
  <si>
    <t xml:space="preserve">   Feedstock</t>
  </si>
  <si>
    <t>If taxable income &lt; 0, tax = $0</t>
  </si>
  <si>
    <t>Loan payment subtracted from annual cash income</t>
  </si>
  <si>
    <t>Interest on construction loan added to investment</t>
  </si>
  <si>
    <t>Total capital investment (TCI)</t>
  </si>
  <si>
    <t>ISBL</t>
  </si>
  <si>
    <t>$/acre</t>
  </si>
  <si>
    <t>Product target</t>
  </si>
  <si>
    <t>$/GGE</t>
  </si>
  <si>
    <t>Feedstock price</t>
  </si>
  <si>
    <t>MM$/yr (feedstock)</t>
  </si>
  <si>
    <t>See OPEX sheet</t>
  </si>
  <si>
    <t>NPV tax</t>
  </si>
  <si>
    <t>NPV OPEX</t>
  </si>
  <si>
    <t>NPV CAPEX</t>
  </si>
  <si>
    <t>Process area</t>
  </si>
  <si>
    <t>Purchased cost</t>
  </si>
  <si>
    <t>Installed cost</t>
  </si>
  <si>
    <t>Land requirement</t>
  </si>
  <si>
    <t>A100: HTL</t>
  </si>
  <si>
    <t>A100: Upgrading</t>
  </si>
  <si>
    <t>A300: Other utilities</t>
  </si>
  <si>
    <t>A200: Heating utility</t>
  </si>
  <si>
    <t>Total direct costs (TDC)</t>
  </si>
  <si>
    <t>Totals</t>
  </si>
  <si>
    <t>Total indirect costs</t>
  </si>
  <si>
    <t>Site development</t>
  </si>
  <si>
    <t>Additional piping</t>
  </si>
  <si>
    <t>Fixed capital investment (FCI)</t>
  </si>
  <si>
    <t>Economic parameters</t>
  </si>
  <si>
    <t>acres</t>
  </si>
  <si>
    <t>General plant</t>
  </si>
  <si>
    <t xml:space="preserve">   Loan interest</t>
  </si>
  <si>
    <t xml:space="preserve">   Loan term, years</t>
  </si>
  <si>
    <t xml:space="preserve">    Steam/power plant</t>
  </si>
  <si>
    <t xml:space="preserve">   Annual loan payment</t>
  </si>
  <si>
    <t>Working capital (% FCI)</t>
  </si>
  <si>
    <t>Salvage value</t>
  </si>
  <si>
    <t xml:space="preserve">   General plant</t>
  </si>
  <si>
    <t xml:space="preserve">   Steam plant</t>
  </si>
  <si>
    <t>MACRS (IRS publication 946, Table A1, Page 76.  http://www.irs.gov/pub/irs-pdf/p946.pdf )</t>
  </si>
  <si>
    <t>Depreciation period (years)</t>
  </si>
  <si>
    <t xml:space="preserve">   Steam/electricity system</t>
  </si>
  <si>
    <t>Construction period (years)</t>
  </si>
  <si>
    <t xml:space="preserve">   % spent in year -2</t>
  </si>
  <si>
    <t xml:space="preserve">   % spent in year -1</t>
  </si>
  <si>
    <t xml:space="preserve">   % spent in year 0</t>
  </si>
  <si>
    <t>Start-up time (years)</t>
  </si>
  <si>
    <t xml:space="preserve">  Fuel production / Feedstock use (% of normal)</t>
  </si>
  <si>
    <t xml:space="preserve">  Variable costs (% of normal)</t>
  </si>
  <si>
    <t xml:space="preserve">  Fixed cost (% of normal)</t>
  </si>
  <si>
    <t>Discount rate (internal rate of return / IRR)</t>
  </si>
  <si>
    <t>Income tax rate</t>
  </si>
  <si>
    <t>Fuel production rate (MMGGE/yr)</t>
  </si>
  <si>
    <t>Cost year</t>
  </si>
  <si>
    <t>Minimum fuel selling price ($/GGE)</t>
  </si>
  <si>
    <t>Manipulated value</t>
  </si>
  <si>
    <t>Net present value</t>
  </si>
  <si>
    <t>Targeted value</t>
  </si>
  <si>
    <t>Fixed capital investment</t>
  </si>
  <si>
    <t>Working capital</t>
  </si>
  <si>
    <t>Loan payment</t>
  </si>
  <si>
    <t xml:space="preserve">   Loan interest payment</t>
  </si>
  <si>
    <t xml:space="preserve">   Loan principal</t>
  </si>
  <si>
    <t xml:space="preserve">   Fuel sales</t>
  </si>
  <si>
    <t xml:space="preserve">   Byproduct credit</t>
  </si>
  <si>
    <t>Total annual sales</t>
  </si>
  <si>
    <t>Annual manufacturing cost</t>
  </si>
  <si>
    <t xml:space="preserve">   Catalyst cost</t>
  </si>
  <si>
    <t xml:space="preserve">   Other variable costs</t>
  </si>
  <si>
    <t xml:space="preserve">   Fixed operating costs</t>
  </si>
  <si>
    <t>Total product cost</t>
  </si>
  <si>
    <t>Annual depreciation</t>
  </si>
  <si>
    <t>General plant writedown</t>
  </si>
  <si>
    <t xml:space="preserve">     Depreciation charge</t>
  </si>
  <si>
    <t xml:space="preserve">     Remaining value</t>
  </si>
  <si>
    <t>Steam plant writedown</t>
  </si>
  <si>
    <t>Net revenue</t>
  </si>
  <si>
    <t>Losses forward</t>
  </si>
  <si>
    <t>Taxable income</t>
  </si>
  <si>
    <t>Income tax</t>
  </si>
  <si>
    <t>Annual cash income</t>
  </si>
  <si>
    <t>Discount factor</t>
  </si>
  <si>
    <t>Annual present value</t>
  </si>
  <si>
    <t>TCI + interest</t>
  </si>
  <si>
    <t>Net present worth</t>
  </si>
  <si>
    <t>Loan interest subtracted from taxable income.</t>
  </si>
  <si>
    <t>ASPEN PLUS OUTPUT UNITS</t>
  </si>
  <si>
    <t>Department of Mechanical Engineering, Colorado State University</t>
  </si>
  <si>
    <t>File name</t>
  </si>
  <si>
    <t>Extension</t>
  </si>
  <si>
    <t>strm.100FEED</t>
  </si>
  <si>
    <t>strm.BIODIESL</t>
  </si>
  <si>
    <t>strm.NAPHTHA</t>
  </si>
  <si>
    <t>strm.A100GAS</t>
  </si>
  <si>
    <t>strm.A100H2O</t>
  </si>
  <si>
    <t>strm.A100SOL</t>
  </si>
  <si>
    <t>strm.A200VENT</t>
  </si>
  <si>
    <t>strm.A300H2O</t>
  </si>
  <si>
    <t>strm.WATREC</t>
  </si>
  <si>
    <t>heat.QHP-100</t>
  </si>
  <si>
    <t>heat.QLP-100</t>
  </si>
  <si>
    <t>heat.QCW-100</t>
  </si>
  <si>
    <t>work.WA100</t>
  </si>
  <si>
    <t>work.WA200</t>
  </si>
  <si>
    <t>work.W-NET</t>
  </si>
  <si>
    <t>cmix.CO2.A200VENT</t>
  </si>
  <si>
    <t>strm.A100.HTLCRUDE</t>
  </si>
  <si>
    <t>strm.A100.HTLAQ</t>
  </si>
  <si>
    <t>strm.A100.HTLGAS</t>
  </si>
  <si>
    <t>strm.A100.HTL.302</t>
  </si>
  <si>
    <t>den.A100.HTL.302</t>
  </si>
  <si>
    <t>strm.A100.HTL.305</t>
  </si>
  <si>
    <t>den.A100.HTL.305</t>
  </si>
  <si>
    <t>heat.A100.HTL.E304Q</t>
  </si>
  <si>
    <t>heat.A100.HTL.E305Q</t>
  </si>
  <si>
    <t>heat.A100.HTL.E306Q</t>
  </si>
  <si>
    <t>temp.A100.HTL.301</t>
  </si>
  <si>
    <t>temp.A100.HTL.301A</t>
  </si>
  <si>
    <t>temp.A100.HTL.301B</t>
  </si>
  <si>
    <t>temp.A100.HTL.306</t>
  </si>
  <si>
    <t>temp.A100.HTL.306A</t>
  </si>
  <si>
    <t>temp.A100.HTL.310</t>
  </si>
  <si>
    <t>temp.A100.HTL.310A</t>
  </si>
  <si>
    <t>temp.A100.HTL.310B</t>
  </si>
  <si>
    <t>temp.A100.HTL.311</t>
  </si>
  <si>
    <t>strm.A100.HT.330</t>
  </si>
  <si>
    <t>strm.A100.HC.351</t>
  </si>
  <si>
    <t>strm.A200.NGHEAT.NGSUPP</t>
  </si>
  <si>
    <t>strm.A200.LPBOILER.NGSUPP</t>
  </si>
  <si>
    <t>Stream value</t>
  </si>
  <si>
    <t>Block ID</t>
  </si>
  <si>
    <t>Heat transfer coeff (U)
[BTU/hr/scf/°F]</t>
  </si>
  <si>
    <t>Heat transfer coeff (U)
[kW/sqft/K]</t>
  </si>
  <si>
    <t>Cold stream</t>
  </si>
  <si>
    <t>Hot stream</t>
  </si>
  <si>
    <t>ΔT, side 1
[°C]</t>
  </si>
  <si>
    <t>ΔT, side 2
[°C]</t>
  </si>
  <si>
    <t>ΔT, log mean
[°C]</t>
  </si>
  <si>
    <t>HX area [sqft]</t>
  </si>
  <si>
    <t>In</t>
  </si>
  <si>
    <t>Out</t>
  </si>
  <si>
    <t>Stream ID</t>
  </si>
  <si>
    <t>Temp [°C]</t>
  </si>
  <si>
    <t>Q [MMkcal/hr]</t>
  </si>
  <si>
    <t>Q [kW]</t>
  </si>
  <si>
    <t>E-301</t>
  </si>
  <si>
    <t>HFLO301</t>
  </si>
  <si>
    <t>HFLO301A</t>
  </si>
  <si>
    <t>E-304</t>
  </si>
  <si>
    <t>E-305</t>
  </si>
  <si>
    <t>E-306</t>
  </si>
  <si>
    <t>Mass flow</t>
  </si>
  <si>
    <t>kg/hr</t>
  </si>
  <si>
    <t>Density</t>
  </si>
  <si>
    <t>kg/L</t>
  </si>
  <si>
    <t>Residence time [min]</t>
  </si>
  <si>
    <t>Reactor length [ft]</t>
  </si>
  <si>
    <t>R-301</t>
  </si>
  <si>
    <t>HX area [sqm]</t>
  </si>
  <si>
    <t>Heat duty</t>
  </si>
  <si>
    <t>HEAT EXCHANGER AREAS</t>
  </si>
  <si>
    <t>REACTOR LENGTH</t>
  </si>
  <si>
    <t>Capital (plant cost) indices</t>
  </si>
  <si>
    <t>Source</t>
  </si>
  <si>
    <t>(1)</t>
  </si>
  <si>
    <t>(2)</t>
  </si>
  <si>
    <t>(3)</t>
  </si>
  <si>
    <t>(4)</t>
  </si>
  <si>
    <t>(5)</t>
  </si>
  <si>
    <t>(6)</t>
  </si>
  <si>
    <t>(7)</t>
  </si>
  <si>
    <t>Chemical price indices</t>
  </si>
  <si>
    <t>US producer price</t>
  </si>
  <si>
    <t>CEPI</t>
  </si>
  <si>
    <t>Labor indices</t>
  </si>
  <si>
    <t>BLS</t>
  </si>
  <si>
    <t>Wholesale electricity indices</t>
  </si>
  <si>
    <t>Price</t>
  </si>
  <si>
    <t>Sources</t>
  </si>
  <si>
    <t>(1) Chemical Engineering Magazine, March, 1997</t>
  </si>
  <si>
    <t>(2) Chemical Engineering Magazine, March, 2000</t>
  </si>
  <si>
    <t>(3) Chemical Engineering Magazine, January, 2001</t>
  </si>
  <si>
    <t>(4) Chemical Engineering Magazine, April, 2002</t>
  </si>
  <si>
    <t>(5) Chemical Engineering Magazine, December, 2003</t>
  </si>
  <si>
    <t>(6) Chemical Engineering Magazine, May 2005</t>
  </si>
  <si>
    <t>(7) Chemical Engineering Magazine, April 2009</t>
  </si>
  <si>
    <t>Current indices @</t>
  </si>
  <si>
    <t>https://www.chemengonline.com/2019-chemical-engineering-plant-cost-index-annual-average/</t>
  </si>
  <si>
    <t>https://fred.stlouisfed.org/series/WPU0613</t>
  </si>
  <si>
    <t xml:space="preserve">CEU3232500008 </t>
  </si>
  <si>
    <t>http://data.bls.gov/cgi-bin/srgate</t>
  </si>
  <si>
    <t>F</t>
  </si>
  <si>
    <t>G</t>
  </si>
  <si>
    <t>J</t>
  </si>
  <si>
    <t>K</t>
  </si>
  <si>
    <t>N</t>
  </si>
  <si>
    <t>This spreadsheet is intended to make an algae hydrothermal liquefaction (HTL) process model available for public use. More details about the
process model, economic, and life-cycle sustainability calculations can be found in the corresponding report.</t>
  </si>
  <si>
    <t>User input (manual)</t>
  </si>
  <si>
    <t>Critical output</t>
  </si>
  <si>
    <t>Fuel production</t>
  </si>
  <si>
    <t>Fuel type</t>
  </si>
  <si>
    <t>Density ID</t>
  </si>
  <si>
    <t>Volumetric flow</t>
  </si>
  <si>
    <t>Operating specifications</t>
  </si>
  <si>
    <t>Fuel properties</t>
  </si>
  <si>
    <t>Diesel</t>
  </si>
  <si>
    <t>Gasoline / naphtha</t>
  </si>
  <si>
    <t>Natural gas</t>
  </si>
  <si>
    <t>Biocrude</t>
  </si>
  <si>
    <t>HHV</t>
  </si>
  <si>
    <t>LHV</t>
  </si>
  <si>
    <t>Btu/gal</t>
  </si>
  <si>
    <t>Btu/scf</t>
  </si>
  <si>
    <t>MJ/kg</t>
  </si>
  <si>
    <t>Hydrogen Analysis Resource Center, Lower and Higher Heating Values of Hydrogen and Fuels</t>
  </si>
  <si>
    <t>kg/scf</t>
  </si>
  <si>
    <t>Feedstock cost</t>
  </si>
  <si>
    <t>Feedstock moisture</t>
  </si>
  <si>
    <t>Annual uptime</t>
  </si>
  <si>
    <t>days</t>
  </si>
  <si>
    <t>hr</t>
  </si>
  <si>
    <t>See DCFROR</t>
  </si>
  <si>
    <t>% wt</t>
  </si>
  <si>
    <t>FEEDH2O</t>
  </si>
  <si>
    <t>ID</t>
  </si>
  <si>
    <t>den.A100.HTL.306B</t>
  </si>
  <si>
    <t>Yes (1) / No (0)</t>
  </si>
  <si>
    <t>GGE production</t>
  </si>
  <si>
    <t>Biodiesel</t>
  </si>
  <si>
    <t>Naphtha</t>
  </si>
  <si>
    <t>Biocrude (intermediate)</t>
  </si>
  <si>
    <t>MMGGE/yr</t>
  </si>
  <si>
    <t>MMgal/yr</t>
  </si>
  <si>
    <t>Total fuel</t>
  </si>
  <si>
    <t>Fuel yield, dry feed basis</t>
  </si>
  <si>
    <t>Variable operating costs</t>
  </si>
  <si>
    <t>Stream</t>
  </si>
  <si>
    <t>Unit cost</t>
  </si>
  <si>
    <t>Converted value</t>
  </si>
  <si>
    <t>$/kg</t>
  </si>
  <si>
    <t>Process water</t>
  </si>
  <si>
    <t>Hydrogen</t>
  </si>
  <si>
    <t>Materials</t>
  </si>
  <si>
    <t>Materials total</t>
  </si>
  <si>
    <t>Waste disposal</t>
  </si>
  <si>
    <t>HTL solids</t>
  </si>
  <si>
    <t>Waste total</t>
  </si>
  <si>
    <t>Utilities</t>
  </si>
  <si>
    <t>INSERT additional materials above</t>
  </si>
  <si>
    <t>Utilities total</t>
  </si>
  <si>
    <t>Credits</t>
  </si>
  <si>
    <t>Electricity to grid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</si>
  <si>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recycle to ponds</t>
    </r>
  </si>
  <si>
    <r>
      <t>N recycle to ponds (as displaced NH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</si>
  <si>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P recycle to ponds (as displaced DAP)</t>
  </si>
  <si>
    <t>Credits total</t>
  </si>
  <si>
    <t>Total variable OPEX</t>
  </si>
  <si>
    <t>Fixed operating costs</t>
  </si>
  <si>
    <t>Position</t>
  </si>
  <si>
    <t>Base salary</t>
  </si>
  <si>
    <t>Project year cash flow</t>
  </si>
  <si>
    <t># required</t>
  </si>
  <si>
    <t>Project year salary</t>
  </si>
  <si>
    <t>Project year total</t>
  </si>
  <si>
    <t>Labor and supervision</t>
  </si>
  <si>
    <t>Labor total</t>
  </si>
  <si>
    <t>Plant engineer</t>
  </si>
  <si>
    <t>Plant manager</t>
  </si>
  <si>
    <t>Maintenance supervisor</t>
  </si>
  <si>
    <t>Maintenance technician</t>
  </si>
  <si>
    <t>Lab manager</t>
  </si>
  <si>
    <t>Lab technician</t>
  </si>
  <si>
    <t>Shift supervisor</t>
  </si>
  <si>
    <t>Shift operators</t>
  </si>
  <si>
    <t>Yard employees</t>
  </si>
  <si>
    <t>Clerks and secretaries</t>
  </si>
  <si>
    <t>Overhead</t>
  </si>
  <si>
    <t>Labor burden</t>
  </si>
  <si>
    <t>Maintenance</t>
  </si>
  <si>
    <t>Property insurance and taxes</t>
  </si>
  <si>
    <t>total labor</t>
  </si>
  <si>
    <t>FCI</t>
  </si>
  <si>
    <t>Expense</t>
  </si>
  <si>
    <t>Additional %</t>
  </si>
  <si>
    <t>of…</t>
  </si>
  <si>
    <t>Overhead total</t>
  </si>
  <si>
    <t>Total fixed OPEX</t>
  </si>
  <si>
    <t>INSERT additional waste above</t>
  </si>
  <si>
    <t>INSERT additional utilities above</t>
  </si>
  <si>
    <t>INSERT additional credits above</t>
  </si>
  <si>
    <t>INSERT additional labor positions above</t>
  </si>
  <si>
    <t>INSERT additional overhead above</t>
  </si>
  <si>
    <t>Total OPEX, project year</t>
  </si>
  <si>
    <t>Per unit</t>
  </si>
  <si>
    <t>All units</t>
  </si>
  <si>
    <t>Equipment</t>
  </si>
  <si>
    <t>Scaling variable</t>
  </si>
  <si>
    <t>Scaling value</t>
  </si>
  <si>
    <t>Scaling exponent</t>
  </si>
  <si>
    <t>Installation factor</t>
  </si>
  <si>
    <t>New value</t>
  </si>
  <si>
    <t>Size ratio</t>
  </si>
  <si>
    <t>Scaled purchase cost</t>
  </si>
  <si>
    <t>Purchase cost, project year</t>
  </si>
  <si>
    <t>Installation cost, project year</t>
  </si>
  <si>
    <t>Required process variable</t>
  </si>
  <si>
    <t>Number of units</t>
  </si>
  <si>
    <t>TOTAL INSIDE BATTERY LIMITS (ISBL)</t>
  </si>
  <si>
    <t>Warehouse</t>
  </si>
  <si>
    <t>TOTAL DIRECT COSTS (TDC)</t>
  </si>
  <si>
    <t>Proratable expenses</t>
  </si>
  <si>
    <t>TDC</t>
  </si>
  <si>
    <t>Field expenses</t>
  </si>
  <si>
    <t>Home office and construction feed</t>
  </si>
  <si>
    <t>Contingency</t>
  </si>
  <si>
    <t>Other costs</t>
  </si>
  <si>
    <t>TOTAL INDIRECT COSTS</t>
  </si>
  <si>
    <t>FIXED CAPITAL INVESTMENT (FCI)</t>
  </si>
  <si>
    <t>TOTAL CAPITAL INVESTMENT (TCI)</t>
  </si>
  <si>
    <t>A100: HTL total</t>
  </si>
  <si>
    <t>INSERT additional A100: HTL equipment above</t>
  </si>
  <si>
    <t>Purge / Reactor exchanger</t>
  </si>
  <si>
    <t>Reactor heater</t>
  </si>
  <si>
    <t>HTL reactor</t>
  </si>
  <si>
    <t>Reactor gas KO drum</t>
  </si>
  <si>
    <t>Solids filter</t>
  </si>
  <si>
    <t>Stream density</t>
  </si>
  <si>
    <t>Separator</t>
  </si>
  <si>
    <t>Bio-oil heat recovery steam generator</t>
  </si>
  <si>
    <t>Purge water cooler</t>
  </si>
  <si>
    <t>Hot oil system package</t>
  </si>
  <si>
    <t>Hot oil</t>
  </si>
  <si>
    <t>HT reactor, vessels, columns</t>
  </si>
  <si>
    <t>Stream flow</t>
  </si>
  <si>
    <t>Hydrocracker + auxiliaries</t>
  </si>
  <si>
    <t>Hydrogen compressor</t>
  </si>
  <si>
    <t>Pressure swing absorber</t>
  </si>
  <si>
    <t>INSERT additional A100: Upgrading equipment above</t>
  </si>
  <si>
    <t>A100: Upgrading total</t>
  </si>
  <si>
    <t>A200: Heating utility total</t>
  </si>
  <si>
    <t>A300: Other utilities total</t>
  </si>
  <si>
    <t>INSERT additional A200: Heating utility equipment above</t>
  </si>
  <si>
    <t>Variable definitions</t>
  </si>
  <si>
    <t>File</t>
  </si>
  <si>
    <t>Import date</t>
  </si>
  <si>
    <t>Import time</t>
  </si>
  <si>
    <t>Product flow</t>
  </si>
  <si>
    <t>Acidification</t>
  </si>
  <si>
    <t>Ecotoxicity</t>
  </si>
  <si>
    <t>Eutrophication</t>
  </si>
  <si>
    <t>Global Warming</t>
  </si>
  <si>
    <t>Human Health - carcinogenics</t>
  </si>
  <si>
    <t>Human Health - non-carcinogenics</t>
  </si>
  <si>
    <t>Ozone Depletion</t>
  </si>
  <si>
    <t>Photochemical ozone formation</t>
  </si>
  <si>
    <t>Resource depletion - fossil fuels</t>
  </si>
  <si>
    <t>Respiratory effects</t>
  </si>
  <si>
    <t>CTUe</t>
  </si>
  <si>
    <t>kg N eq</t>
  </si>
  <si>
    <t>CTUh</t>
  </si>
  <si>
    <t>kg CFC-11 eq</t>
  </si>
  <si>
    <t>MJ surplus</t>
  </si>
  <si>
    <t>kg PM2.5 eq</t>
  </si>
  <si>
    <r>
      <t>kg SO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eq</t>
    </r>
  </si>
  <si>
    <r>
      <t>kg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eq</t>
    </r>
  </si>
  <si>
    <r>
      <t>kg O</t>
    </r>
    <r>
      <rPr>
        <b/>
        <vertAlign val="sub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eq</t>
    </r>
  </si>
  <si>
    <t>Functional unit</t>
  </si>
  <si>
    <t>Natural gas transport</t>
  </si>
  <si>
    <t>Electricity</t>
  </si>
  <si>
    <t>DAP</t>
  </si>
  <si>
    <t>Vehicle fuel use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</si>
  <si>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credit</t>
    </r>
  </si>
  <si>
    <r>
      <t>Hydrogen (H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</si>
  <si>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kg</t>
  </si>
  <si>
    <t>t-km</t>
  </si>
  <si>
    <t>kWh</t>
  </si>
  <si>
    <t>kg P</t>
  </si>
  <si>
    <t>MJ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</si>
  <si>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</si>
  <si>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kg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</si>
  <si>
    <t>Additional notes</t>
  </si>
  <si>
    <t>Extraction only.</t>
  </si>
  <si>
    <t>Pipeline delivery.</t>
  </si>
  <si>
    <t>Data source</t>
  </si>
  <si>
    <t>Mehmeti et al. (2018)</t>
  </si>
  <si>
    <t>ecoinvent Version 3.4</t>
  </si>
  <si>
    <t>GREET 2019</t>
  </si>
  <si>
    <t>From steam-methane reforming. Converted from ReCiPe to TRACI through ecoinvent.</t>
  </si>
  <si>
    <r>
      <t>ecoinvent Version 3.4</t>
    </r>
    <r>
      <rPr>
        <sz val="11"/>
        <color theme="1"/>
        <rFont val="Calibri"/>
        <family val="2"/>
        <scheme val="minor"/>
      </rPr>
      <t/>
    </r>
  </si>
  <si>
    <r>
      <t>As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. MW DAP = 132.06; MW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= 283.89. Note that DAP has 1 P and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has 2 P.</t>
    </r>
  </si>
  <si>
    <t>US grid mix, high voltage.</t>
  </si>
  <si>
    <t>Emission to water, unspecified.</t>
  </si>
  <si>
    <t>Emission to air, unspecified.</t>
  </si>
  <si>
    <t>CIDI Vehicle: Conventional and LS Diesel</t>
  </si>
  <si>
    <t>BTU, gal, or g per MJ</t>
  </si>
  <si>
    <t>Item</t>
  </si>
  <si>
    <t>Feedstock</t>
  </si>
  <si>
    <t>Fuel</t>
  </si>
  <si>
    <t>Vehicle Operation</t>
  </si>
  <si>
    <t>Total</t>
  </si>
  <si>
    <t xml:space="preserve">Total Energy </t>
  </si>
  <si>
    <t>Fossil Fuels</t>
  </si>
  <si>
    <t>Coal</t>
  </si>
  <si>
    <t>Natural Gas</t>
  </si>
  <si>
    <t>Petroleum</t>
  </si>
  <si>
    <t>Water Consumption</t>
  </si>
  <si>
    <t>CO2 (w/ C in VOC &amp; CO)</t>
  </si>
  <si>
    <t>CH4</t>
  </si>
  <si>
    <t>N2O</t>
  </si>
  <si>
    <t>GHGs</t>
  </si>
  <si>
    <t>VOC: Total</t>
  </si>
  <si>
    <t>CO: Total</t>
  </si>
  <si>
    <t>NOx: Total</t>
  </si>
  <si>
    <t>PM10: Total</t>
  </si>
  <si>
    <t>PM2.5: Total</t>
  </si>
  <si>
    <t>SOx: Total</t>
  </si>
  <si>
    <t>BC Total</t>
  </si>
  <si>
    <t>OC Total</t>
  </si>
  <si>
    <t>VOC: Urban</t>
  </si>
  <si>
    <t>CO: Urban</t>
  </si>
  <si>
    <t>NOx: Urban</t>
  </si>
  <si>
    <t>PM10: Urban</t>
  </si>
  <si>
    <t>PM2.5: Urban</t>
  </si>
  <si>
    <t>SOx: Urban</t>
  </si>
  <si>
    <t>BC: Urban</t>
  </si>
  <si>
    <t>OC: Urban</t>
  </si>
  <si>
    <t>End use (from GREET 2019)</t>
  </si>
  <si>
    <t>strm.[STREAM]</t>
  </si>
  <si>
    <t>work.[STREAM]</t>
  </si>
  <si>
    <t>heat.[STREAM]</t>
  </si>
  <si>
    <t>den.[STREAM]</t>
  </si>
  <si>
    <t>pres.[STREAM]</t>
  </si>
  <si>
    <t>temp.[STREAM]</t>
  </si>
  <si>
    <t>vap.[STREAM]</t>
  </si>
  <si>
    <t>flcmix.[STREAM]</t>
  </si>
  <si>
    <t>flccis.[STREAM]</t>
  </si>
  <si>
    <t>Relevant impact factors per kg (from ecoinvent Version 3.4)</t>
  </si>
  <si>
    <t>See table below.</t>
  </si>
  <si>
    <t>INSERT additional A300: Other utilities equipment above</t>
  </si>
  <si>
    <t>Volume flow</t>
  </si>
  <si>
    <t>Sized in 'HTLEquipSize'</t>
  </si>
  <si>
    <t>den.A100.HTLCRUDE</t>
  </si>
  <si>
    <t>strm.A100.HTLHEAVY</t>
  </si>
  <si>
    <t>den.A100.HTLHEAVY</t>
  </si>
  <si>
    <r>
      <t>Density of 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STP</t>
    </r>
  </si>
  <si>
    <t>bpd</t>
  </si>
  <si>
    <t>MMscf/d</t>
  </si>
  <si>
    <t>g/cc</t>
  </si>
  <si>
    <r>
      <t>ft</t>
    </r>
    <r>
      <rPr>
        <vertAlign val="superscript"/>
        <sz val="11"/>
        <color theme="1"/>
        <rFont val="Calibri"/>
        <family val="2"/>
        <scheme val="minor"/>
      </rPr>
      <t>2</t>
    </r>
  </si>
  <si>
    <t>ft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</si>
  <si>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</si>
  <si>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t>gpm</t>
  </si>
  <si>
    <t>MMBTU/hr</t>
  </si>
  <si>
    <t>$/kWh</t>
  </si>
  <si>
    <t>Peter H. Chen, pchen@colostate.edu</t>
  </si>
  <si>
    <t>Density [kg/L]</t>
  </si>
  <si>
    <r>
      <t>Density [kg/m</t>
    </r>
    <r>
      <rPr>
        <b/>
        <vertAlign val="superscript"/>
        <sz val="11"/>
        <color theme="1"/>
        <rFont val="Calibri"/>
        <family val="2"/>
      </rPr>
      <t>3</t>
    </r>
    <r>
      <rPr>
        <b/>
        <sz val="11"/>
        <color theme="1"/>
        <rFont val="Calibri"/>
        <family val="2"/>
      </rPr>
      <t>]</t>
    </r>
  </si>
  <si>
    <t>smix.[STREAM]</t>
  </si>
  <si>
    <t>Sensitivity block ID</t>
  </si>
  <si>
    <t>ASPEN PLUS v10.0 - EXCEL INTERFACE</t>
  </si>
  <si>
    <t>Directory</t>
  </si>
  <si>
    <t>MASSFLOW</t>
  </si>
  <si>
    <t>.bkp</t>
  </si>
  <si>
    <t>Process model based on</t>
  </si>
  <si>
    <t>Excel interface based on</t>
  </si>
  <si>
    <t>Humbird et al. (2011) files</t>
  </si>
  <si>
    <t>https://www.nrel.gov/extranet/biorefinery/aspen-models/</t>
  </si>
  <si>
    <t>https://www.nrel.gov/disclaimer.html</t>
  </si>
  <si>
    <t>Disclaimer</t>
  </si>
  <si>
    <t>This work is a derivative of publicly available files released by the National Renewable Energy Laboratory (NREL).</t>
  </si>
  <si>
    <t>This work was NOT developed as a part of work for the U.S. Department of Energy (DOE), NREL, or the Alliance for Sustainable Energy, LLC.</t>
  </si>
  <si>
    <t>RAWAFDW</t>
  </si>
  <si>
    <t>DW</t>
  </si>
  <si>
    <t>HFLO310</t>
  </si>
  <si>
    <t>HFLO310A</t>
  </si>
  <si>
    <t>STRM.100FEED</t>
  </si>
  <si>
    <t xml:space="preserve">KG/HR           </t>
  </si>
  <si>
    <t>STRM.BIODIESL</t>
  </si>
  <si>
    <t>STRM.NAPHTHA</t>
  </si>
  <si>
    <t>STRM.A100GAS</t>
  </si>
  <si>
    <t>STRM.A100H2O</t>
  </si>
  <si>
    <t>STRM.A100SOL</t>
  </si>
  <si>
    <t>STRM.A200VENT</t>
  </si>
  <si>
    <t>STRM.A300H2O</t>
  </si>
  <si>
    <t>STRM.WATREC</t>
  </si>
  <si>
    <t>HEAT.QHP-100</t>
  </si>
  <si>
    <t xml:space="preserve">MMKCAL/HR       </t>
  </si>
  <si>
    <t>HEAT.QLP-100</t>
  </si>
  <si>
    <t>HEAT.QCW-100</t>
  </si>
  <si>
    <t>WORK.WA100</t>
  </si>
  <si>
    <t xml:space="preserve">KW              </t>
  </si>
  <si>
    <t>WORK.WA200</t>
  </si>
  <si>
    <t>WORK.W-NET</t>
  </si>
  <si>
    <t>CMIX.CO2.A200VENT</t>
  </si>
  <si>
    <t>STRM.A100.HTLCRUDE</t>
  </si>
  <si>
    <t>STRM.A100.HTLAQ</t>
  </si>
  <si>
    <t>STRM.A100.HTLGAS</t>
  </si>
  <si>
    <t>STRM.A100.HTL.302</t>
  </si>
  <si>
    <t>DEN.A100.HTL.302</t>
  </si>
  <si>
    <t xml:space="preserve">GM/CC           </t>
  </si>
  <si>
    <t>DEN.A100.HTL.306B</t>
  </si>
  <si>
    <t>STRM.A100.HTL.305</t>
  </si>
  <si>
    <t>DEN.A100.HTL.305</t>
  </si>
  <si>
    <t>HEAT.A100.HTL.E304Q</t>
  </si>
  <si>
    <t>HEAT.A100.HTL.E305Q</t>
  </si>
  <si>
    <t>HEAT.A100.HTL.E306Q</t>
  </si>
  <si>
    <t>TEMP.A100.HTL.301</t>
  </si>
  <si>
    <t xml:space="preserve">C               </t>
  </si>
  <si>
    <t>TEMP.A100.HTL.301A</t>
  </si>
  <si>
    <t>TEMP.A100.HTL.301B</t>
  </si>
  <si>
    <t>TEMP.A100.HTL.306</t>
  </si>
  <si>
    <t>TEMP.A100.HTL.306A</t>
  </si>
  <si>
    <t>TEMP.A100.HTL.310</t>
  </si>
  <si>
    <t>TEMP.A100.HTL.310A</t>
  </si>
  <si>
    <t>TEMP.A100.HTL.310B</t>
  </si>
  <si>
    <t>TEMP.A100.HTL.311</t>
  </si>
  <si>
    <t>STRM.A100.HT.330</t>
  </si>
  <si>
    <t>STRM.A100.HC.351</t>
  </si>
  <si>
    <t>STRM.A200.NGHEAT.NGSUPP</t>
  </si>
  <si>
    <t>STRM.A200.LPBOILER.NGSUPP</t>
  </si>
  <si>
    <t>ID call (no sensitivity block)</t>
  </si>
  <si>
    <t>ID return (automatically includes sensitivity block)</t>
  </si>
  <si>
    <t>heat.A200.STEAMGEN.QAVL-LP</t>
  </si>
  <si>
    <t>heat.A200.STEAMGEN.Q-COND</t>
  </si>
  <si>
    <t>HEAT.A200.STEAMGEN.QAVL-LP</t>
  </si>
  <si>
    <t>HEAT.A200.STEAMGEN.Q-COND</t>
  </si>
  <si>
    <t>Electricity index</t>
  </si>
  <si>
    <t>Reference name</t>
  </si>
  <si>
    <t>INDIRECT(Reference name)</t>
  </si>
  <si>
    <t>DEN.A100.HTLCRUDE</t>
  </si>
  <si>
    <t>Hot oil assumption</t>
  </si>
  <si>
    <t>den.A100.HTL.301B</t>
  </si>
  <si>
    <t>DEN.A100.HTL.301B</t>
  </si>
  <si>
    <t>Reactor diameter [ft]</t>
  </si>
  <si>
    <t>Reactor length [m]</t>
  </si>
  <si>
    <t>STRM.A100.HTLHEAVY</t>
  </si>
  <si>
    <t>DEN.A100.HTLHEAVY</t>
  </si>
  <si>
    <t>Volume</t>
  </si>
  <si>
    <t>Annual operating hours</t>
  </si>
  <si>
    <t>Prorateable expenses</t>
  </si>
  <si>
    <t>Home office &amp; construction fee</t>
  </si>
  <si>
    <t>Project contingency</t>
  </si>
  <si>
    <t>Other costs (start-up, permits, etc.)</t>
  </si>
  <si>
    <t>See fuel properties</t>
  </si>
  <si>
    <t>Dry ash-free biomass</t>
  </si>
  <si>
    <t>kW</t>
  </si>
  <si>
    <t>File last loaded:</t>
  </si>
  <si>
    <t>NH3EQREC</t>
  </si>
  <si>
    <t>DAPEQ</t>
  </si>
  <si>
    <t>ALGCMOL</t>
  </si>
  <si>
    <t>ALGNMOL</t>
  </si>
  <si>
    <t>ALGPMOL</t>
  </si>
  <si>
    <t>CO2EQ</t>
  </si>
  <si>
    <t>NH3EQ</t>
  </si>
  <si>
    <t>Char credit</t>
  </si>
  <si>
    <t>$/1000 scf</t>
  </si>
  <si>
    <t>$/US ton</t>
  </si>
  <si>
    <t>$/metric ton</t>
  </si>
  <si>
    <t>Capital expenses (CAPEX) summary</t>
  </si>
  <si>
    <t>Operating expenses (OPEX) summary</t>
  </si>
  <si>
    <t>Variable OPEX</t>
  </si>
  <si>
    <t>Waste</t>
  </si>
  <si>
    <t>Fixed OPEX</t>
  </si>
  <si>
    <t>Labor</t>
  </si>
  <si>
    <t>Variable OPEX total</t>
  </si>
  <si>
    <t>Fixed OPEX total</t>
  </si>
  <si>
    <t>Total annual OPEX</t>
  </si>
  <si>
    <t>Total annual OPEX w/ credits</t>
  </si>
  <si>
    <t>Variable OPEX credits</t>
  </si>
  <si>
    <t>NPV total (minus depreciation)</t>
  </si>
  <si>
    <t>Do not use</t>
  </si>
  <si>
    <r>
      <t>Price [¢</t>
    </r>
    <r>
      <rPr>
        <i/>
        <sz val="11"/>
        <color theme="1"/>
        <rFont val="Calibri"/>
        <family val="2"/>
      </rPr>
      <t>/kWh]</t>
    </r>
  </si>
  <si>
    <t>Electricity from grid</t>
  </si>
  <si>
    <t>Dillich et al. (2012)</t>
  </si>
  <si>
    <t>Dutta et al. (2011)</t>
  </si>
  <si>
    <t>EIA (2019)</t>
  </si>
  <si>
    <t>ccis.[COMPONENT].[STREAM]</t>
  </si>
  <si>
    <t>cmix.[COMPONENT].[STREAM]</t>
  </si>
  <si>
    <t>cmix.H2O.100FEED</t>
  </si>
  <si>
    <t>cmix.SUCROSE.100FEED</t>
  </si>
  <si>
    <t>cmix.OIL.100FEED</t>
  </si>
  <si>
    <t>cmix.FAME.100FEED</t>
  </si>
  <si>
    <t>ccis.GLUCAN.100FEED</t>
  </si>
  <si>
    <t>ccis.PROTEIN.100FEED</t>
  </si>
  <si>
    <t>ccis.ALG1CELL.100FEED</t>
  </si>
  <si>
    <t>ccis.ASH.100FEED</t>
  </si>
  <si>
    <t>CMIX.H2O.100FEED</t>
  </si>
  <si>
    <t>CMIX.SUCROSE.100FEED</t>
  </si>
  <si>
    <t>CMIX.OIL.100FEED</t>
  </si>
  <si>
    <t>CMIX.FAME.100FEED</t>
  </si>
  <si>
    <t>CCIS.GLUCAN.100FEED</t>
  </si>
  <si>
    <t>CCIS.PROTEIN.100FEED</t>
  </si>
  <si>
    <t>CCIS.ALG1CELL.100FEED</t>
  </si>
  <si>
    <t>CCIS.ASH.100FEED</t>
  </si>
  <si>
    <t>(8)</t>
  </si>
  <si>
    <t>(9) FRED Economic Data</t>
  </si>
  <si>
    <t>Labor statistics</t>
  </si>
  <si>
    <t>Capital cost indices</t>
  </si>
  <si>
    <t>(10) Bureau of Labor Statistics</t>
  </si>
  <si>
    <t>Wholesale electricity cost</t>
  </si>
  <si>
    <t>(11) EIA</t>
  </si>
  <si>
    <t>https://www.eia.gov/electricity/wholesale/</t>
  </si>
  <si>
    <t>(8) Chemical Engineering Magazine, current indices @</t>
  </si>
  <si>
    <t>Series ID</t>
  </si>
  <si>
    <t>(9)</t>
  </si>
  <si>
    <t>(10)</t>
  </si>
  <si>
    <t>(11)</t>
  </si>
  <si>
    <t>DCFROR worksheet</t>
  </si>
  <si>
    <r>
      <t>NH</t>
    </r>
    <r>
      <rPr>
        <vertAlign val="subscript"/>
        <sz val="11"/>
        <color theme="1"/>
        <rFont val="Calibri"/>
        <family val="2"/>
        <scheme val="minor"/>
      </rPr>
      <t>3</t>
    </r>
  </si>
  <si>
    <r>
      <t>N emitted to water (as NH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</si>
  <si>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emitted to air</t>
    </r>
  </si>
  <si>
    <r>
      <t>P emitted to water (as 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</si>
  <si>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 xml:space="preserve">Yes (1) / No (0) </t>
    </r>
    <r>
      <rPr>
        <b/>
        <i/>
        <sz val="11"/>
        <color theme="1"/>
        <rFont val="Calibri"/>
        <family val="2"/>
        <scheme val="minor"/>
      </rPr>
      <t>(See OPEX tab)</t>
    </r>
  </si>
  <si>
    <t>MJ/hr</t>
  </si>
  <si>
    <t>GGE/metric ton</t>
  </si>
  <si>
    <t>Hourly energy production (MJ)</t>
  </si>
  <si>
    <t>LCI functional unit</t>
  </si>
  <si>
    <r>
      <t>kg NH</t>
    </r>
    <r>
      <rPr>
        <vertAlign val="subscript"/>
        <sz val="11"/>
        <color theme="1"/>
        <rFont val="Calibri"/>
        <family val="2"/>
        <scheme val="minor"/>
      </rPr>
      <t>3</t>
    </r>
  </si>
  <si>
    <r>
      <t>kg P</t>
    </r>
    <r>
      <rPr>
        <vertAlign val="subscript"/>
        <sz val="11"/>
        <color theme="1"/>
        <rFont val="Calibri"/>
        <family val="2"/>
        <scheme val="minor"/>
      </rPr>
      <t>i</t>
    </r>
  </si>
  <si>
    <t>kg C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</si>
  <si>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</t>
    </r>
  </si>
  <si>
    <r>
      <t>kg NH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</t>
    </r>
  </si>
  <si>
    <r>
      <t>kg 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/hr</t>
    </r>
  </si>
  <si>
    <t>kg C/hr</t>
  </si>
  <si>
    <t>Direct emissions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</si>
  <si>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</si>
  <si>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kg DAP</t>
  </si>
  <si>
    <t>kg DAP/hr</t>
  </si>
  <si>
    <t>INSERT additional direct emissions above</t>
  </si>
  <si>
    <r>
      <t>kg</t>
    </r>
    <r>
      <rPr>
        <sz val="11"/>
        <color theme="1"/>
        <rFont val="Calibri"/>
        <family val="2"/>
        <scheme val="minor"/>
      </rPr>
      <t>/hr</t>
    </r>
  </si>
  <si>
    <t>INSERT additional cultivation impacts above</t>
  </si>
  <si>
    <t>Cultivation impacts</t>
  </si>
  <si>
    <t>Indirect impacts (copied from OPEX tab)</t>
  </si>
  <si>
    <t>Natural gas transport distance</t>
  </si>
  <si>
    <t>km</t>
  </si>
  <si>
    <t>t-km/hr</t>
  </si>
  <si>
    <r>
      <t>CH</t>
    </r>
    <r>
      <rPr>
        <vertAlign val="subscript"/>
        <sz val="11"/>
        <color theme="1"/>
        <rFont val="Calibri"/>
        <family val="2"/>
        <scheme val="minor"/>
      </rPr>
      <t>4</t>
    </r>
  </si>
  <si>
    <r>
      <t>CH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emitted to air</t>
    </r>
  </si>
  <si>
    <r>
      <t>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 emitted to air</t>
    </r>
  </si>
  <si>
    <t>Other impacts (not copied from OPEX tab)</t>
  </si>
  <si>
    <t>Spreadsheet legend</t>
  </si>
  <si>
    <t>Cost contributor</t>
  </si>
  <si>
    <t>Recycle credits</t>
  </si>
  <si>
    <t>Capital recovery</t>
  </si>
  <si>
    <t>Area</t>
  </si>
  <si>
    <t>Total MFSP</t>
  </si>
  <si>
    <t>Other process summary parameters</t>
  </si>
  <si>
    <t>Feed exit temp [°C]</t>
  </si>
  <si>
    <r>
      <t>Preheat HEX area [ft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</si>
  <si>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r>
      <t>NG duty [kg hr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</si>
  <si>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r>
      <t>GWP [g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eq MJ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</si>
  <si>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r>
      <t>NER [MJ</t>
    </r>
    <r>
      <rPr>
        <b/>
        <vertAlign val="subscript"/>
        <sz val="11"/>
        <color theme="1"/>
        <rFont val="Calibri"/>
        <family val="2"/>
        <scheme val="minor"/>
      </rPr>
      <t>in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MJ</t>
    </r>
    <r>
      <rPr>
        <b/>
        <vertAlign val="subscript"/>
        <sz val="11"/>
        <color theme="1"/>
        <rFont val="Calibri"/>
        <family val="2"/>
        <scheme val="minor"/>
      </rPr>
      <t>out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</si>
  <si>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r>
      <t>Fossil energy [MJ</t>
    </r>
    <r>
      <rPr>
        <b/>
        <vertAlign val="subscript"/>
        <sz val="11"/>
        <color theme="1"/>
        <rFont val="Calibri"/>
        <family val="2"/>
        <scheme val="minor"/>
      </rPr>
      <t>in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MJ</t>
    </r>
    <r>
      <rPr>
        <b/>
        <vertAlign val="subscript"/>
        <sz val="11"/>
        <color theme="1"/>
        <rFont val="Calibri"/>
        <family val="2"/>
        <scheme val="minor"/>
      </rPr>
      <t>out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</si>
  <si>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t>INSERT additional end use impacts above</t>
  </si>
  <si>
    <t>End use impacts</t>
  </si>
  <si>
    <t>Vehicle end use</t>
  </si>
  <si>
    <t>Life cycle impacts [per MJ fuel]</t>
  </si>
  <si>
    <t>Total life cycle impacts [per MJ fuel]</t>
  </si>
  <si>
    <t>ALGC</t>
  </si>
  <si>
    <t>Missing Stream</t>
  </si>
  <si>
    <t>Breakdown by consumable</t>
  </si>
  <si>
    <t>INSERT additional consumable categories above</t>
  </si>
  <si>
    <t>Feedstock (cultivation + dewater)</t>
  </si>
  <si>
    <t>Natural gas (extraction + transport)</t>
  </si>
  <si>
    <t>Nutrients to water</t>
  </si>
  <si>
    <t>Other materials</t>
  </si>
  <si>
    <t>End use</t>
  </si>
  <si>
    <t>Nutrient credit</t>
  </si>
  <si>
    <t>GHGs to air</t>
  </si>
  <si>
    <t>NER</t>
  </si>
  <si>
    <t>MJ/MJ</t>
  </si>
  <si>
    <t>GWP</t>
  </si>
  <si>
    <t>Human health (carcinogenic)</t>
  </si>
  <si>
    <t>Human health (non-carcinogenic)</t>
  </si>
  <si>
    <t>Ozone depletion</t>
  </si>
  <si>
    <t>Fossil fuel depletion</t>
  </si>
  <si>
    <t>Category</t>
  </si>
  <si>
    <t>LCA (WTW) summary</t>
  </si>
  <si>
    <t>Units [per MJ]</t>
  </si>
  <si>
    <r>
      <t>kg SO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eq</t>
    </r>
  </si>
  <si>
    <r>
      <t>kg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eq</t>
    </r>
  </si>
  <si>
    <r>
      <t>kg 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eq</t>
    </r>
  </si>
  <si>
    <t>% contribution</t>
  </si>
  <si>
    <t>Cooling tower system</t>
  </si>
  <si>
    <t>Cooling water pump</t>
  </si>
  <si>
    <t>Plant air compressor</t>
  </si>
  <si>
    <t>Hydraulic truck dump with scale</t>
  </si>
  <si>
    <t>Firewater pump</t>
  </si>
  <si>
    <t>Instrument air dryer</t>
  </si>
  <si>
    <t>Plant air receiver</t>
  </si>
  <si>
    <t>Firewater storage tank</t>
  </si>
  <si>
    <t>HTL oil intermediate storage (3 day)</t>
  </si>
  <si>
    <t>Naphtha storage (3 day)</t>
  </si>
  <si>
    <t>Biodiesel storage (3 day)</t>
  </si>
  <si>
    <t>Biocrude density</t>
  </si>
  <si>
    <t>Naphtha density</t>
  </si>
  <si>
    <t>Biodiesel density</t>
  </si>
  <si>
    <t>lb/hr</t>
  </si>
  <si>
    <t>t/d</t>
  </si>
  <si>
    <t>gal</t>
  </si>
  <si>
    <t>Transportation and distribution</t>
  </si>
  <si>
    <t>Transportation &amp; distribution</t>
  </si>
  <si>
    <t>kg fuel</t>
  </si>
  <si>
    <t>Bennion et al. (2015)</t>
  </si>
  <si>
    <t>Considered mostly negligible but still included.</t>
  </si>
  <si>
    <t>Minimum fuel selling price ($/LGE)</t>
  </si>
  <si>
    <t>TCI</t>
  </si>
  <si>
    <t>CAPEX contribution</t>
  </si>
  <si>
    <t>HTL</t>
  </si>
  <si>
    <t>Upgrading</t>
  </si>
  <si>
    <t>Heating utility</t>
  </si>
  <si>
    <t>Other utilities</t>
  </si>
  <si>
    <t>MFSP [2019$ per GGE]</t>
  </si>
  <si>
    <t>CAPEX breakdown by area</t>
  </si>
  <si>
    <t>OPEX contribution</t>
  </si>
  <si>
    <t>MFSP breakdown by area</t>
  </si>
  <si>
    <t>cmix.H2O.A300.CWTOWER.WETAIR</t>
  </si>
  <si>
    <t>CMIX.H2O.A300.CWTOWER.WETAIR</t>
  </si>
  <si>
    <t>HTL impact</t>
  </si>
  <si>
    <t>Soy diesel impact</t>
  </si>
  <si>
    <t>Conv. diesel impact</t>
  </si>
  <si>
    <r>
      <t xml:space="preserve">Factor </t>
    </r>
    <r>
      <rPr>
        <b/>
        <sz val="11"/>
        <color theme="1"/>
        <rFont val="Calibri"/>
        <family val="2"/>
      </rPr>
      <t>×</t>
    </r>
    <r>
      <rPr>
        <b/>
        <sz val="11"/>
        <color theme="1"/>
        <rFont val="Calibri"/>
        <family val="2"/>
        <scheme val="minor"/>
      </rPr>
      <t xml:space="preserve"> vs. soy</t>
    </r>
  </si>
  <si>
    <r>
      <t xml:space="preserve">Factor </t>
    </r>
    <r>
      <rPr>
        <b/>
        <sz val="11"/>
        <color theme="1"/>
        <rFont val="Calibri"/>
        <family val="2"/>
      </rPr>
      <t>×</t>
    </r>
    <r>
      <rPr>
        <b/>
        <sz val="11"/>
        <color theme="1"/>
        <rFont val="Calibri"/>
        <family val="2"/>
        <scheme val="minor"/>
      </rPr>
      <t xml:space="preserve"> vs. diesel</t>
    </r>
  </si>
  <si>
    <t>C:\Users\pchen.ENS13025\Documents\HTL analysis paper\Submission draft\Public release files\HTL base model PChen.bkp</t>
  </si>
  <si>
    <t>HTL base model PChen</t>
  </si>
  <si>
    <t>C:\Users\pchen.ENS13025\Documents\HTL analysis paper\Submission draft\Public release files\</t>
  </si>
  <si>
    <t>$/AFDW US ton</t>
  </si>
  <si>
    <t>temp.A300.CWTOWER.CW1</t>
  </si>
  <si>
    <t>temp.A300.CWTOWER.CW3</t>
  </si>
  <si>
    <t>strm.A300.CWTOWER.CWMU</t>
  </si>
  <si>
    <t>TEMP.A300.CWTOWER.CW1</t>
  </si>
  <si>
    <t>TEMP.A300.CWTOWER.CW3</t>
  </si>
  <si>
    <t>STRM.A300.CWTOWER.CWMU</t>
  </si>
  <si>
    <t>cmix.CO2.A100GAS</t>
  </si>
  <si>
    <t>cmix.CH4.A200VENT</t>
  </si>
  <si>
    <t>CMIX.CO2.A100GAS</t>
  </si>
  <si>
    <t>CMIX.CH4.A200VENT</t>
  </si>
  <si>
    <t>strm.A300.CWTOWER.CW1</t>
  </si>
  <si>
    <t>STRM.A300.CWTOWER.CW1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</si>
</sst>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0.0%"/>
    <numFmt numFmtId="167" formatCode="&quot;$&quot;#,##0"/>
    <numFmt numFmtId="168" formatCode="0.0000"/>
    <numFmt numFmtId="169" formatCode="0.000"/>
    <numFmt numFmtId="170" formatCode="&quot;$&quot;#,##0.0000"/>
    <numFmt numFmtId="171" formatCode="&quot;$&quot;#,##0.000000000"/>
    <numFmt numFmtId="172" formatCode="_(* #,##0_);_(* \(#,##0\);_(* &quot;-&quot;??_);_(@_)"/>
    <numFmt numFmtId="173" formatCode="_(* #,##0.0_);_(* \(#,##0.0\);_(* &quot;-&quot;??_);_(@_)"/>
    <numFmt numFmtId="174" formatCode="_(* #,##0.000_);_(* \(#,##0.000\);_(* &quot;-&quot;??_);_(@_)"/>
    <numFmt numFmtId="175" formatCode="0.0E+00"/>
    <numFmt numFmtId="176" formatCode="_(&quot;$&quot;* #,##0.000_);_(&quot;$&quot;* \(#,##0.000\);_(&quot;$&quot;* &quot;-&quot;???_);_(@_)"/>
    <numFmt numFmtId="177" formatCode="_(&quot;$&quot;* #,##0.00_);_(&quot;$&quot;* \(#,##0.00\);_(&quot;$&quot;* &quot;-&quot;???_);_(@_)"/>
  </numFmts>
  <fonts count="44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</font>
    <font>
      <b/>
      <sz val="11"/>
      <color theme="1"/>
      <name val="Calibri"/>
      <family val="2"/>
    </font>
    <font>
      <sz val="16"/>
      <color theme="1"/>
      <name val="Calibri"/>
      <family val="2"/>
    </font>
    <font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rgb="FF006100"/>
      <name val="Calibri"/>
      <family val="2"/>
      <scheme val="minor"/>
    </font>
    <font>
      <i/>
      <sz val="10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4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sz val="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i/>
      <sz val="14"/>
      <color rgb="FF006100"/>
      <name val="Calibri"/>
      <family val="2"/>
      <scheme val="minor"/>
    </font>
    <font>
      <b/>
      <i/>
      <sz val="12"/>
      <color rgb="FF006100"/>
      <name val="Calibri"/>
      <family val="2"/>
      <scheme val="minor"/>
    </font>
    <font>
      <b/>
      <sz val="16"/>
      <name val="Calibri"/>
      <family val="2"/>
    </font>
    <font>
      <i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i/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thin">
        <color rgb="FF7F7F7F"/>
      </top>
      <bottom style="dotted">
        <color indexed="64"/>
      </bottom>
      <diagonal/>
    </border>
    <border>
      <left/>
      <right style="medium">
        <color indexed="64"/>
      </right>
      <top style="thin">
        <color rgb="FF7F7F7F"/>
      </top>
      <bottom style="dotted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3" borderId="0" applyNumberFormat="0" applyBorder="0" applyAlignment="0" applyProtection="0"/>
    <xf numFmtId="0" fontId="6" fillId="4" borderId="19" applyNumberFormat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8" fillId="0" borderId="0"/>
    <xf numFmtId="0" fontId="33" fillId="14" borderId="0" applyNumberFormat="0" applyBorder="0" applyAlignment="0" applyProtection="0"/>
    <xf numFmtId="0" fontId="38" fillId="0" borderId="0" applyNumberFormat="0" applyFill="0" applyBorder="0" applyAlignment="0" applyProtection="0"/>
  </cellStyleXfs>
  <cellXfs count="681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0" fontId="0" fillId="0" borderId="0" xfId="0" applyBorder="1"/>
    <xf numFmtId="0" fontId="2" fillId="0" borderId="0" xfId="0" applyFont="1" applyBorder="1"/>
    <xf numFmtId="0" fontId="0" fillId="0" borderId="3" xfId="0" applyBorder="1"/>
    <xf numFmtId="0" fontId="0" fillId="0" borderId="6" xfId="0" applyBorder="1"/>
    <xf numFmtId="0" fontId="2" fillId="0" borderId="11" xfId="0" applyFont="1" applyBorder="1"/>
    <xf numFmtId="0" fontId="0" fillId="0" borderId="8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3" fillId="0" borderId="0" xfId="0" applyFont="1" applyBorder="1" applyAlignment="1"/>
    <xf numFmtId="0" fontId="10" fillId="5" borderId="0" xfId="8" applyFill="1"/>
    <xf numFmtId="0" fontId="10" fillId="0" borderId="0" xfId="8"/>
    <xf numFmtId="0" fontId="12" fillId="5" borderId="20" xfId="8" applyFont="1" applyFill="1" applyBorder="1" applyAlignment="1">
      <alignment horizontal="left"/>
    </xf>
    <xf numFmtId="0" fontId="10" fillId="5" borderId="20" xfId="8" applyFill="1" applyBorder="1" applyAlignment="1">
      <alignment horizontal="left"/>
    </xf>
    <xf numFmtId="0" fontId="10" fillId="0" borderId="20" xfId="8" applyBorder="1"/>
    <xf numFmtId="0" fontId="12" fillId="5" borderId="9" xfId="8" applyFont="1" applyFill="1" applyBorder="1"/>
    <xf numFmtId="0" fontId="12" fillId="5" borderId="10" xfId="8" applyFont="1" applyFill="1" applyBorder="1"/>
    <xf numFmtId="0" fontId="12" fillId="5" borderId="21" xfId="8" applyFont="1" applyFill="1" applyBorder="1"/>
    <xf numFmtId="0" fontId="12" fillId="5" borderId="11" xfId="8" applyFont="1" applyFill="1" applyBorder="1"/>
    <xf numFmtId="0" fontId="10" fillId="5" borderId="0" xfId="8" applyFill="1" applyBorder="1"/>
    <xf numFmtId="167" fontId="10" fillId="5" borderId="0" xfId="8" applyNumberFormat="1" applyFill="1" applyBorder="1"/>
    <xf numFmtId="0" fontId="10" fillId="5" borderId="1" xfId="8" applyFill="1" applyBorder="1"/>
    <xf numFmtId="0" fontId="10" fillId="5" borderId="2" xfId="8" applyFill="1" applyBorder="1"/>
    <xf numFmtId="167" fontId="10" fillId="5" borderId="22" xfId="8" applyNumberFormat="1" applyFill="1" applyBorder="1"/>
    <xf numFmtId="0" fontId="10" fillId="5" borderId="7" xfId="8" applyFill="1" applyBorder="1"/>
    <xf numFmtId="167" fontId="10" fillId="5" borderId="23" xfId="8" applyNumberFormat="1" applyFill="1" applyBorder="1"/>
    <xf numFmtId="0" fontId="10" fillId="0" borderId="0" xfId="8" applyBorder="1"/>
    <xf numFmtId="44" fontId="0" fillId="5" borderId="0" xfId="9" applyFont="1" applyFill="1" applyBorder="1"/>
    <xf numFmtId="9" fontId="0" fillId="5" borderId="0" xfId="10" applyFont="1" applyFill="1" applyBorder="1"/>
    <xf numFmtId="167" fontId="12" fillId="5" borderId="21" xfId="8" applyNumberFormat="1" applyFont="1" applyFill="1" applyBorder="1"/>
    <xf numFmtId="10" fontId="0" fillId="5" borderId="0" xfId="10" applyNumberFormat="1" applyFont="1" applyFill="1" applyBorder="1"/>
    <xf numFmtId="0" fontId="10" fillId="5" borderId="3" xfId="8" applyFill="1" applyBorder="1"/>
    <xf numFmtId="0" fontId="12" fillId="5" borderId="7" xfId="8" applyFont="1" applyFill="1" applyBorder="1"/>
    <xf numFmtId="0" fontId="12" fillId="5" borderId="0" xfId="8" applyFont="1" applyFill="1" applyBorder="1"/>
    <xf numFmtId="0" fontId="10" fillId="5" borderId="8" xfId="8" applyFill="1" applyBorder="1"/>
    <xf numFmtId="0" fontId="10" fillId="5" borderId="8" xfId="8" applyFont="1" applyFill="1" applyBorder="1"/>
    <xf numFmtId="44" fontId="6" fillId="4" borderId="24" xfId="5" applyNumberFormat="1" applyBorder="1"/>
    <xf numFmtId="0" fontId="10" fillId="5" borderId="4" xfId="8" applyFill="1" applyBorder="1"/>
    <xf numFmtId="0" fontId="10" fillId="5" borderId="6" xfId="8" applyFill="1" applyBorder="1"/>
    <xf numFmtId="5" fontId="12" fillId="5" borderId="0" xfId="8" applyNumberFormat="1" applyFont="1" applyFill="1" applyBorder="1"/>
    <xf numFmtId="0" fontId="10" fillId="5" borderId="27" xfId="8" applyFill="1" applyBorder="1"/>
    <xf numFmtId="167" fontId="10" fillId="5" borderId="27" xfId="8" applyNumberFormat="1" applyFill="1" applyBorder="1"/>
    <xf numFmtId="0" fontId="10" fillId="5" borderId="26" xfId="8" applyFill="1" applyBorder="1"/>
    <xf numFmtId="167" fontId="10" fillId="5" borderId="26" xfId="8" applyNumberFormat="1" applyFill="1" applyBorder="1"/>
    <xf numFmtId="170" fontId="10" fillId="5" borderId="0" xfId="8" applyNumberFormat="1" applyFill="1" applyBorder="1"/>
    <xf numFmtId="171" fontId="10" fillId="5" borderId="26" xfId="8" applyNumberFormat="1" applyFill="1" applyBorder="1"/>
    <xf numFmtId="167" fontId="4" fillId="5" borderId="0" xfId="8" applyNumberFormat="1" applyFont="1" applyFill="1" applyBorder="1"/>
    <xf numFmtId="167" fontId="14" fillId="5" borderId="0" xfId="11" applyNumberFormat="1" applyFont="1" applyFill="1" applyBorder="1" applyAlignment="1">
      <alignment vertical="center"/>
    </xf>
    <xf numFmtId="5" fontId="10" fillId="5" borderId="0" xfId="8" applyNumberFormat="1" applyFill="1" applyBorder="1"/>
    <xf numFmtId="5" fontId="10" fillId="5" borderId="26" xfId="8" applyNumberFormat="1" applyFill="1" applyBorder="1"/>
    <xf numFmtId="5" fontId="10" fillId="5" borderId="27" xfId="8" applyNumberFormat="1" applyFill="1" applyBorder="1"/>
    <xf numFmtId="168" fontId="10" fillId="5" borderId="0" xfId="8" applyNumberFormat="1" applyFill="1" applyBorder="1"/>
    <xf numFmtId="0" fontId="10" fillId="0" borderId="3" xfId="8" applyBorder="1"/>
    <xf numFmtId="0" fontId="10" fillId="0" borderId="2" xfId="8" applyBorder="1"/>
    <xf numFmtId="0" fontId="10" fillId="0" borderId="8" xfId="8" applyBorder="1"/>
    <xf numFmtId="0" fontId="10" fillId="0" borderId="5" xfId="8" applyBorder="1"/>
    <xf numFmtId="0" fontId="10" fillId="0" borderId="1" xfId="8" applyFill="1" applyBorder="1"/>
    <xf numFmtId="9" fontId="0" fillId="0" borderId="2" xfId="10" applyFont="1" applyFill="1" applyBorder="1"/>
    <xf numFmtId="0" fontId="10" fillId="0" borderId="2" xfId="8" applyFill="1" applyBorder="1"/>
    <xf numFmtId="0" fontId="10" fillId="0" borderId="7" xfId="8" applyFill="1" applyBorder="1"/>
    <xf numFmtId="9" fontId="0" fillId="0" borderId="0" xfId="10" applyFont="1" applyFill="1" applyBorder="1"/>
    <xf numFmtId="0" fontId="10" fillId="0" borderId="0" xfId="8" applyFill="1" applyBorder="1"/>
    <xf numFmtId="167" fontId="10" fillId="0" borderId="0" xfId="8" applyNumberFormat="1" applyFill="1" applyBorder="1"/>
    <xf numFmtId="0" fontId="12" fillId="0" borderId="4" xfId="8" applyFont="1" applyFill="1" applyBorder="1"/>
    <xf numFmtId="0" fontId="12" fillId="0" borderId="5" xfId="8" applyFont="1" applyFill="1" applyBorder="1"/>
    <xf numFmtId="167" fontId="12" fillId="0" borderId="6" xfId="8" applyNumberFormat="1" applyFont="1" applyFill="1" applyBorder="1"/>
    <xf numFmtId="0" fontId="12" fillId="0" borderId="9" xfId="8" applyFont="1" applyFill="1" applyBorder="1"/>
    <xf numFmtId="0" fontId="12" fillId="0" borderId="10" xfId="8" applyFont="1" applyFill="1" applyBorder="1"/>
    <xf numFmtId="167" fontId="12" fillId="0" borderId="11" xfId="8" applyNumberFormat="1" applyFont="1" applyFill="1" applyBorder="1"/>
    <xf numFmtId="0" fontId="10" fillId="0" borderId="4" xfId="8" applyFill="1" applyBorder="1"/>
    <xf numFmtId="0" fontId="10" fillId="0" borderId="5" xfId="8" applyFill="1" applyBorder="1"/>
    <xf numFmtId="9" fontId="0" fillId="0" borderId="5" xfId="10" applyFont="1" applyFill="1" applyBorder="1"/>
    <xf numFmtId="2" fontId="10" fillId="0" borderId="0" xfId="8" applyNumberFormat="1" applyFill="1" applyBorder="1"/>
    <xf numFmtId="0" fontId="0" fillId="0" borderId="0" xfId="0" applyFill="1"/>
    <xf numFmtId="0" fontId="2" fillId="0" borderId="9" xfId="0" applyFont="1" applyBorder="1"/>
    <xf numFmtId="0" fontId="2" fillId="0" borderId="10" xfId="0" applyFont="1" applyBorder="1"/>
    <xf numFmtId="0" fontId="0" fillId="0" borderId="1" xfId="0" applyBorder="1"/>
    <xf numFmtId="0" fontId="0" fillId="0" borderId="2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7" fillId="0" borderId="0" xfId="0" applyFont="1"/>
    <xf numFmtId="0" fontId="12" fillId="0" borderId="9" xfId="0" applyFont="1" applyBorder="1"/>
    <xf numFmtId="0" fontId="12" fillId="0" borderId="11" xfId="0" applyFont="1" applyBorder="1"/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0" xfId="0" applyFont="1" applyBorder="1"/>
    <xf numFmtId="0" fontId="0" fillId="0" borderId="23" xfId="0" applyBorder="1"/>
    <xf numFmtId="11" fontId="0" fillId="0" borderId="23" xfId="0" applyNumberFormat="1" applyBorder="1"/>
    <xf numFmtId="0" fontId="0" fillId="0" borderId="23" xfId="0" applyFill="1" applyBorder="1"/>
    <xf numFmtId="11" fontId="0" fillId="0" borderId="23" xfId="0" applyNumberFormat="1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25" xfId="0" applyBorder="1"/>
    <xf numFmtId="11" fontId="0" fillId="0" borderId="25" xfId="0" applyNumberFormat="1" applyBorder="1"/>
    <xf numFmtId="0" fontId="12" fillId="0" borderId="21" xfId="0" applyFont="1" applyBorder="1"/>
    <xf numFmtId="0" fontId="6" fillId="4" borderId="40" xfId="5" applyBorder="1"/>
    <xf numFmtId="0" fontId="6" fillId="4" borderId="41" xfId="5" applyBorder="1"/>
    <xf numFmtId="0" fontId="6" fillId="4" borderId="42" xfId="5" applyBorder="1"/>
    <xf numFmtId="0" fontId="21" fillId="3" borderId="28" xfId="4" applyFont="1" applyBorder="1"/>
    <xf numFmtId="44" fontId="21" fillId="3" borderId="29" xfId="4" applyNumberFormat="1" applyFont="1" applyBorder="1"/>
    <xf numFmtId="0" fontId="10" fillId="5" borderId="43" xfId="8" applyFill="1" applyBorder="1"/>
    <xf numFmtId="0" fontId="10" fillId="5" borderId="44" xfId="8" applyFill="1" applyBorder="1"/>
    <xf numFmtId="44" fontId="5" fillId="3" borderId="24" xfId="4" applyNumberFormat="1" applyBorder="1"/>
    <xf numFmtId="44" fontId="0" fillId="5" borderId="45" xfId="9" applyFont="1" applyFill="1" applyBorder="1"/>
    <xf numFmtId="0" fontId="10" fillId="5" borderId="46" xfId="8" applyFont="1" applyFill="1" applyBorder="1"/>
    <xf numFmtId="0" fontId="6" fillId="4" borderId="47" xfId="5" applyBorder="1"/>
    <xf numFmtId="172" fontId="0" fillId="0" borderId="2" xfId="1" applyNumberFormat="1" applyFont="1" applyBorder="1"/>
    <xf numFmtId="172" fontId="0" fillId="0" borderId="0" xfId="1" applyNumberFormat="1" applyFont="1" applyBorder="1"/>
    <xf numFmtId="169" fontId="0" fillId="0" borderId="2" xfId="0" applyNumberFormat="1" applyBorder="1"/>
    <xf numFmtId="169" fontId="0" fillId="0" borderId="0" xfId="0" applyNumberFormat="1" applyBorder="1"/>
    <xf numFmtId="43" fontId="0" fillId="0" borderId="5" xfId="1" applyNumberFormat="1" applyFont="1" applyBorder="1"/>
    <xf numFmtId="172" fontId="0" fillId="0" borderId="5" xfId="1" applyNumberFormat="1" applyFont="1" applyBorder="1"/>
    <xf numFmtId="169" fontId="0" fillId="0" borderId="5" xfId="0" applyNumberFormat="1" applyBorder="1"/>
    <xf numFmtId="0" fontId="18" fillId="8" borderId="9" xfId="0" applyFont="1" applyFill="1" applyBorder="1"/>
    <xf numFmtId="0" fontId="7" fillId="9" borderId="9" xfId="0" applyFont="1" applyFill="1" applyBorder="1"/>
    <xf numFmtId="0" fontId="7" fillId="9" borderId="10" xfId="0" applyFont="1" applyFill="1" applyBorder="1"/>
    <xf numFmtId="0" fontId="7" fillId="9" borderId="11" xfId="0" applyFont="1" applyFill="1" applyBorder="1"/>
    <xf numFmtId="0" fontId="3" fillId="10" borderId="1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0" fontId="3" fillId="10" borderId="4" xfId="0" applyFont="1" applyFill="1" applyBorder="1"/>
    <xf numFmtId="0" fontId="3" fillId="10" borderId="5" xfId="0" applyFont="1" applyFill="1" applyBorder="1"/>
    <xf numFmtId="0" fontId="3" fillId="10" borderId="6" xfId="0" applyFont="1" applyFill="1" applyBorder="1"/>
    <xf numFmtId="0" fontId="3" fillId="9" borderId="5" xfId="0" applyFont="1" applyFill="1" applyBorder="1"/>
    <xf numFmtId="0" fontId="17" fillId="10" borderId="9" xfId="0" applyFont="1" applyFill="1" applyBorder="1" applyAlignment="1"/>
    <xf numFmtId="0" fontId="17" fillId="10" borderId="10" xfId="0" applyFont="1" applyFill="1" applyBorder="1" applyAlignment="1"/>
    <xf numFmtId="0" fontId="24" fillId="10" borderId="10" xfId="0" applyFont="1" applyFill="1" applyBorder="1" applyAlignment="1"/>
    <xf numFmtId="164" fontId="0" fillId="0" borderId="0" xfId="2" applyNumberFormat="1" applyFont="1" applyBorder="1"/>
    <xf numFmtId="164" fontId="0" fillId="0" borderId="8" xfId="2" applyNumberFormat="1" applyFont="1" applyBorder="1"/>
    <xf numFmtId="0" fontId="0" fillId="10" borderId="1" xfId="0" applyFill="1" applyBorder="1"/>
    <xf numFmtId="0" fontId="7" fillId="9" borderId="1" xfId="0" applyFont="1" applyFill="1" applyBorder="1"/>
    <xf numFmtId="0" fontId="7" fillId="9" borderId="2" xfId="0" applyFont="1" applyFill="1" applyBorder="1"/>
    <xf numFmtId="0" fontId="7" fillId="9" borderId="3" xfId="0" applyFont="1" applyFill="1" applyBorder="1"/>
    <xf numFmtId="0" fontId="3" fillId="9" borderId="4" xfId="0" applyFont="1" applyFill="1" applyBorder="1"/>
    <xf numFmtId="0" fontId="24" fillId="10" borderId="9" xfId="0" applyFont="1" applyFill="1" applyBorder="1" applyAlignment="1"/>
    <xf numFmtId="0" fontId="26" fillId="11" borderId="9" xfId="0" applyFont="1" applyFill="1" applyBorder="1"/>
    <xf numFmtId="0" fontId="26" fillId="11" borderId="10" xfId="0" applyFont="1" applyFill="1" applyBorder="1"/>
    <xf numFmtId="0" fontId="17" fillId="10" borderId="1" xfId="0" applyFont="1" applyFill="1" applyBorder="1" applyAlignment="1"/>
    <xf numFmtId="0" fontId="17" fillId="10" borderId="2" xfId="0" applyFont="1" applyFill="1" applyBorder="1" applyAlignment="1"/>
    <xf numFmtId="0" fontId="17" fillId="10" borderId="3" xfId="0" applyFont="1" applyFill="1" applyBorder="1" applyAlignment="1"/>
    <xf numFmtId="0" fontId="3" fillId="0" borderId="0" xfId="0" applyFont="1" applyBorder="1"/>
    <xf numFmtId="173" fontId="0" fillId="0" borderId="0" xfId="1" applyNumberFormat="1" applyFont="1" applyBorder="1"/>
    <xf numFmtId="165" fontId="0" fillId="0" borderId="0" xfId="0" applyNumberFormat="1" applyBorder="1"/>
    <xf numFmtId="164" fontId="0" fillId="0" borderId="0" xfId="0" applyNumberFormat="1" applyBorder="1"/>
    <xf numFmtId="2" fontId="0" fillId="0" borderId="0" xfId="0" applyNumberFormat="1" applyBorder="1"/>
    <xf numFmtId="1" fontId="0" fillId="0" borderId="0" xfId="0" applyNumberFormat="1" applyBorder="1"/>
    <xf numFmtId="164" fontId="0" fillId="0" borderId="8" xfId="0" applyNumberFormat="1" applyBorder="1"/>
    <xf numFmtId="173" fontId="0" fillId="0" borderId="0" xfId="0" applyNumberFormat="1" applyBorder="1"/>
    <xf numFmtId="166" fontId="0" fillId="0" borderId="0" xfId="3" applyNumberFormat="1" applyFont="1" applyBorder="1"/>
    <xf numFmtId="0" fontId="16" fillId="0" borderId="0" xfId="0" applyFont="1" applyBorder="1"/>
    <xf numFmtId="164" fontId="0" fillId="0" borderId="30" xfId="2" applyNumberFormat="1" applyFont="1" applyBorder="1"/>
    <xf numFmtId="173" fontId="0" fillId="0" borderId="30" xfId="1" applyNumberFormat="1" applyFont="1" applyBorder="1"/>
    <xf numFmtId="165" fontId="0" fillId="0" borderId="30" xfId="0" applyNumberFormat="1" applyBorder="1"/>
    <xf numFmtId="172" fontId="0" fillId="0" borderId="30" xfId="1" applyNumberFormat="1" applyFont="1" applyBorder="1"/>
    <xf numFmtId="43" fontId="0" fillId="0" borderId="30" xfId="0" applyNumberFormat="1" applyBorder="1"/>
    <xf numFmtId="164" fontId="0" fillId="0" borderId="30" xfId="0" applyNumberFormat="1" applyBorder="1"/>
    <xf numFmtId="2" fontId="0" fillId="0" borderId="30" xfId="0" applyNumberFormat="1" applyBorder="1"/>
    <xf numFmtId="1" fontId="0" fillId="0" borderId="30" xfId="0" applyNumberFormat="1" applyBorder="1"/>
    <xf numFmtId="0" fontId="0" fillId="0" borderId="30" xfId="0" applyFill="1" applyBorder="1"/>
    <xf numFmtId="164" fontId="0" fillId="0" borderId="30" xfId="2" applyNumberFormat="1" applyFont="1" applyFill="1" applyBorder="1"/>
    <xf numFmtId="173" fontId="0" fillId="0" borderId="30" xfId="1" applyNumberFormat="1" applyFont="1" applyFill="1" applyBorder="1"/>
    <xf numFmtId="165" fontId="0" fillId="0" borderId="30" xfId="0" applyNumberFormat="1" applyFill="1" applyBorder="1"/>
    <xf numFmtId="2" fontId="0" fillId="0" borderId="30" xfId="0" applyNumberFormat="1" applyFill="1" applyBorder="1"/>
    <xf numFmtId="1" fontId="0" fillId="0" borderId="30" xfId="0" applyNumberFormat="1" applyFill="1" applyBorder="1"/>
    <xf numFmtId="0" fontId="0" fillId="0" borderId="30" xfId="0" applyFill="1" applyBorder="1" applyAlignment="1">
      <alignment horizontal="right"/>
    </xf>
    <xf numFmtId="0" fontId="0" fillId="0" borderId="30" xfId="0" applyFill="1" applyBorder="1" applyAlignment="1">
      <alignment horizontal="left"/>
    </xf>
    <xf numFmtId="164" fontId="0" fillId="0" borderId="32" xfId="0" applyNumberFormat="1" applyBorder="1"/>
    <xf numFmtId="0" fontId="0" fillId="0" borderId="31" xfId="0" applyFill="1" applyBorder="1"/>
    <xf numFmtId="0" fontId="2" fillId="9" borderId="33" xfId="0" applyFont="1" applyFill="1" applyBorder="1"/>
    <xf numFmtId="0" fontId="3" fillId="9" borderId="34" xfId="0" applyFont="1" applyFill="1" applyBorder="1"/>
    <xf numFmtId="164" fontId="3" fillId="9" borderId="34" xfId="2" applyNumberFormat="1" applyFont="1" applyFill="1" applyBorder="1"/>
    <xf numFmtId="173" fontId="3" fillId="9" borderId="34" xfId="1" applyNumberFormat="1" applyFont="1" applyFill="1" applyBorder="1"/>
    <xf numFmtId="165" fontId="3" fillId="9" borderId="34" xfId="0" applyNumberFormat="1" applyFont="1" applyFill="1" applyBorder="1"/>
    <xf numFmtId="173" fontId="3" fillId="9" borderId="34" xfId="0" applyNumberFormat="1" applyFont="1" applyFill="1" applyBorder="1"/>
    <xf numFmtId="164" fontId="3" fillId="9" borderId="34" xfId="0" applyNumberFormat="1" applyFont="1" applyFill="1" applyBorder="1"/>
    <xf numFmtId="2" fontId="3" fillId="9" borderId="34" xfId="0" applyNumberFormat="1" applyFont="1" applyFill="1" applyBorder="1"/>
    <xf numFmtId="1" fontId="3" fillId="9" borderId="34" xfId="0" applyNumberFormat="1" applyFont="1" applyFill="1" applyBorder="1"/>
    <xf numFmtId="164" fontId="3" fillId="9" borderId="35" xfId="0" applyNumberFormat="1" applyFont="1" applyFill="1" applyBorder="1"/>
    <xf numFmtId="0" fontId="16" fillId="10" borderId="36" xfId="0" applyFont="1" applyFill="1" applyBorder="1"/>
    <xf numFmtId="0" fontId="17" fillId="10" borderId="37" xfId="0" applyFont="1" applyFill="1" applyBorder="1"/>
    <xf numFmtId="0" fontId="17" fillId="10" borderId="38" xfId="0" applyFont="1" applyFill="1" applyBorder="1"/>
    <xf numFmtId="0" fontId="7" fillId="9" borderId="12" xfId="0" applyFont="1" applyFill="1" applyBorder="1"/>
    <xf numFmtId="0" fontId="7" fillId="9" borderId="39" xfId="0" applyFont="1" applyFill="1" applyBorder="1"/>
    <xf numFmtId="0" fontId="7" fillId="9" borderId="13" xfId="0" applyFont="1" applyFill="1" applyBorder="1"/>
    <xf numFmtId="0" fontId="0" fillId="0" borderId="30" xfId="0" applyBorder="1" applyAlignment="1">
      <alignment horizontal="right"/>
    </xf>
    <xf numFmtId="0" fontId="0" fillId="10" borderId="9" xfId="0" applyFill="1" applyBorder="1"/>
    <xf numFmtId="0" fontId="3" fillId="10" borderId="10" xfId="0" applyFont="1" applyFill="1" applyBorder="1"/>
    <xf numFmtId="164" fontId="3" fillId="10" borderId="10" xfId="2" applyNumberFormat="1" applyFont="1" applyFill="1" applyBorder="1"/>
    <xf numFmtId="173" fontId="3" fillId="10" borderId="10" xfId="1" applyNumberFormat="1" applyFont="1" applyFill="1" applyBorder="1"/>
    <xf numFmtId="165" fontId="3" fillId="10" borderId="10" xfId="0" applyNumberFormat="1" applyFont="1" applyFill="1" applyBorder="1"/>
    <xf numFmtId="173" fontId="3" fillId="10" borderId="10" xfId="0" applyNumberFormat="1" applyFont="1" applyFill="1" applyBorder="1"/>
    <xf numFmtId="164" fontId="3" fillId="10" borderId="10" xfId="0" applyNumberFormat="1" applyFont="1" applyFill="1" applyBorder="1"/>
    <xf numFmtId="2" fontId="3" fillId="10" borderId="10" xfId="0" applyNumberFormat="1" applyFont="1" applyFill="1" applyBorder="1"/>
    <xf numFmtId="1" fontId="3" fillId="10" borderId="10" xfId="0" applyNumberFormat="1" applyFont="1" applyFill="1" applyBorder="1"/>
    <xf numFmtId="164" fontId="3" fillId="10" borderId="11" xfId="0" applyNumberFormat="1" applyFont="1" applyFill="1" applyBorder="1"/>
    <xf numFmtId="164" fontId="0" fillId="0" borderId="2" xfId="2" applyNumberFormat="1" applyFont="1" applyBorder="1"/>
    <xf numFmtId="173" fontId="0" fillId="0" borderId="2" xfId="1" applyNumberFormat="1" applyFont="1" applyBorder="1"/>
    <xf numFmtId="165" fontId="0" fillId="0" borderId="2" xfId="0" applyNumberFormat="1" applyBorder="1"/>
    <xf numFmtId="173" fontId="0" fillId="0" borderId="2" xfId="0" applyNumberFormat="1" applyBorder="1"/>
    <xf numFmtId="164" fontId="0" fillId="0" borderId="2" xfId="0" applyNumberFormat="1" applyBorder="1"/>
    <xf numFmtId="166" fontId="0" fillId="0" borderId="2" xfId="3" applyNumberFormat="1" applyFont="1" applyBorder="1"/>
    <xf numFmtId="2" fontId="0" fillId="0" borderId="2" xfId="0" applyNumberFormat="1" applyBorder="1"/>
    <xf numFmtId="1" fontId="0" fillId="0" borderId="2" xfId="0" applyNumberFormat="1" applyBorder="1"/>
    <xf numFmtId="164" fontId="0" fillId="0" borderId="3" xfId="0" applyNumberFormat="1" applyBorder="1"/>
    <xf numFmtId="0" fontId="0" fillId="10" borderId="4" xfId="0" applyFill="1" applyBorder="1"/>
    <xf numFmtId="164" fontId="3" fillId="10" borderId="5" xfId="2" applyNumberFormat="1" applyFont="1" applyFill="1" applyBorder="1"/>
    <xf numFmtId="173" fontId="3" fillId="10" borderId="5" xfId="1" applyNumberFormat="1" applyFont="1" applyFill="1" applyBorder="1"/>
    <xf numFmtId="165" fontId="3" fillId="10" borderId="5" xfId="0" applyNumberFormat="1" applyFont="1" applyFill="1" applyBorder="1"/>
    <xf numFmtId="173" fontId="3" fillId="10" borderId="5" xfId="0" applyNumberFormat="1" applyFont="1" applyFill="1" applyBorder="1"/>
    <xf numFmtId="164" fontId="3" fillId="10" borderId="5" xfId="0" applyNumberFormat="1" applyFont="1" applyFill="1" applyBorder="1"/>
    <xf numFmtId="2" fontId="3" fillId="10" borderId="5" xfId="0" applyNumberFormat="1" applyFont="1" applyFill="1" applyBorder="1"/>
    <xf numFmtId="1" fontId="3" fillId="10" borderId="5" xfId="0" applyNumberFormat="1" applyFont="1" applyFill="1" applyBorder="1"/>
    <xf numFmtId="164" fontId="3" fillId="10" borderId="6" xfId="0" applyNumberFormat="1" applyFont="1" applyFill="1" applyBorder="1"/>
    <xf numFmtId="164" fontId="3" fillId="10" borderId="2" xfId="2" applyNumberFormat="1" applyFont="1" applyFill="1" applyBorder="1"/>
    <xf numFmtId="173" fontId="3" fillId="10" borderId="2" xfId="1" applyNumberFormat="1" applyFont="1" applyFill="1" applyBorder="1"/>
    <xf numFmtId="165" fontId="3" fillId="10" borderId="2" xfId="0" applyNumberFormat="1" applyFont="1" applyFill="1" applyBorder="1"/>
    <xf numFmtId="173" fontId="3" fillId="10" borderId="2" xfId="0" applyNumberFormat="1" applyFont="1" applyFill="1" applyBorder="1"/>
    <xf numFmtId="164" fontId="3" fillId="10" borderId="2" xfId="0" applyNumberFormat="1" applyFont="1" applyFill="1" applyBorder="1"/>
    <xf numFmtId="2" fontId="3" fillId="10" borderId="2" xfId="0" applyNumberFormat="1" applyFont="1" applyFill="1" applyBorder="1"/>
    <xf numFmtId="1" fontId="3" fillId="10" borderId="2" xfId="0" applyNumberFormat="1" applyFont="1" applyFill="1" applyBorder="1"/>
    <xf numFmtId="0" fontId="14" fillId="11" borderId="4" xfId="0" applyFont="1" applyFill="1" applyBorder="1"/>
    <xf numFmtId="0" fontId="28" fillId="11" borderId="5" xfId="0" applyFont="1" applyFill="1" applyBorder="1"/>
    <xf numFmtId="164" fontId="28" fillId="11" borderId="5" xfId="2" applyNumberFormat="1" applyFont="1" applyFill="1" applyBorder="1"/>
    <xf numFmtId="173" fontId="28" fillId="11" borderId="5" xfId="1" applyNumberFormat="1" applyFont="1" applyFill="1" applyBorder="1"/>
    <xf numFmtId="165" fontId="28" fillId="11" borderId="5" xfId="0" applyNumberFormat="1" applyFont="1" applyFill="1" applyBorder="1"/>
    <xf numFmtId="173" fontId="28" fillId="11" borderId="5" xfId="0" applyNumberFormat="1" applyFont="1" applyFill="1" applyBorder="1"/>
    <xf numFmtId="164" fontId="28" fillId="11" borderId="5" xfId="0" applyNumberFormat="1" applyFont="1" applyFill="1" applyBorder="1"/>
    <xf numFmtId="2" fontId="28" fillId="11" borderId="5" xfId="0" applyNumberFormat="1" applyFont="1" applyFill="1" applyBorder="1"/>
    <xf numFmtId="1" fontId="28" fillId="11" borderId="5" xfId="0" applyNumberFormat="1" applyFont="1" applyFill="1" applyBorder="1"/>
    <xf numFmtId="0" fontId="24" fillId="10" borderId="2" xfId="0" applyFont="1" applyFill="1" applyBorder="1"/>
    <xf numFmtId="0" fontId="29" fillId="11" borderId="5" xfId="0" applyFont="1" applyFill="1" applyBorder="1"/>
    <xf numFmtId="0" fontId="11" fillId="10" borderId="9" xfId="8" applyFont="1" applyFill="1" applyBorder="1"/>
    <xf numFmtId="0" fontId="13" fillId="10" borderId="10" xfId="8" applyFont="1" applyFill="1" applyBorder="1"/>
    <xf numFmtId="0" fontId="10" fillId="10" borderId="10" xfId="8" applyFill="1" applyBorder="1"/>
    <xf numFmtId="0" fontId="10" fillId="10" borderId="11" xfId="8" applyFill="1" applyBorder="1"/>
    <xf numFmtId="0" fontId="12" fillId="9" borderId="26" xfId="8" applyFont="1" applyFill="1" applyBorder="1"/>
    <xf numFmtId="0" fontId="0" fillId="0" borderId="49" xfId="0" applyFont="1" applyBorder="1"/>
    <xf numFmtId="2" fontId="0" fillId="0" borderId="50" xfId="0" applyNumberFormat="1" applyFont="1" applyBorder="1"/>
    <xf numFmtId="2" fontId="0" fillId="0" borderId="51" xfId="0" applyNumberFormat="1" applyFont="1" applyBorder="1"/>
    <xf numFmtId="2" fontId="0" fillId="0" borderId="0" xfId="0" applyNumberFormat="1"/>
    <xf numFmtId="2" fontId="0" fillId="0" borderId="52" xfId="0" applyNumberFormat="1" applyFont="1" applyBorder="1"/>
    <xf numFmtId="0" fontId="0" fillId="0" borderId="53" xfId="0" applyFont="1" applyBorder="1"/>
    <xf numFmtId="2" fontId="0" fillId="0" borderId="31" xfId="0" applyNumberFormat="1" applyFont="1" applyBorder="1"/>
    <xf numFmtId="2" fontId="0" fillId="0" borderId="30" xfId="0" applyNumberFormat="1" applyFont="1" applyBorder="1"/>
    <xf numFmtId="2" fontId="0" fillId="0" borderId="32" xfId="0" applyNumberFormat="1" applyFont="1" applyBorder="1"/>
    <xf numFmtId="2" fontId="5" fillId="3" borderId="30" xfId="4" applyNumberFormat="1" applyBorder="1"/>
    <xf numFmtId="2" fontId="14" fillId="0" borderId="30" xfId="4" applyNumberFormat="1" applyFont="1" applyFill="1" applyBorder="1"/>
    <xf numFmtId="0" fontId="0" fillId="0" borderId="54" xfId="0" applyFont="1" applyBorder="1"/>
    <xf numFmtId="2" fontId="0" fillId="0" borderId="33" xfId="0" applyNumberFormat="1" applyFont="1" applyBorder="1"/>
    <xf numFmtId="2" fontId="0" fillId="0" borderId="34" xfId="0" applyNumberFormat="1" applyFont="1" applyBorder="1"/>
    <xf numFmtId="2" fontId="14" fillId="0" borderId="34" xfId="4" applyNumberFormat="1" applyFont="1" applyFill="1" applyBorder="1"/>
    <xf numFmtId="2" fontId="0" fillId="0" borderId="35" xfId="0" applyNumberFormat="1" applyFont="1" applyBorder="1"/>
    <xf numFmtId="0" fontId="7" fillId="6" borderId="9" xfId="0" applyFont="1" applyFill="1" applyBorder="1"/>
    <xf numFmtId="0" fontId="7" fillId="6" borderId="11" xfId="0" applyFont="1" applyFill="1" applyBorder="1"/>
    <xf numFmtId="0" fontId="7" fillId="13" borderId="9" xfId="0" applyFont="1" applyFill="1" applyBorder="1"/>
    <xf numFmtId="0" fontId="7" fillId="13" borderId="21" xfId="0" applyFont="1" applyFill="1" applyBorder="1"/>
    <xf numFmtId="0" fontId="7" fillId="13" borderId="10" xfId="0" applyFont="1" applyFill="1" applyBorder="1"/>
    <xf numFmtId="0" fontId="7" fillId="13" borderId="11" xfId="0" applyFont="1" applyFill="1" applyBorder="1"/>
    <xf numFmtId="0" fontId="7" fillId="13" borderId="22" xfId="0" applyFont="1" applyFill="1" applyBorder="1"/>
    <xf numFmtId="0" fontId="7" fillId="13" borderId="1" xfId="0" applyFont="1" applyFill="1" applyBorder="1"/>
    <xf numFmtId="0" fontId="7" fillId="13" borderId="3" xfId="0" applyFont="1" applyFill="1" applyBorder="1"/>
    <xf numFmtId="0" fontId="0" fillId="6" borderId="7" xfId="0" applyFill="1" applyBorder="1"/>
    <xf numFmtId="0" fontId="0" fillId="6" borderId="4" xfId="0" applyFill="1" applyBorder="1"/>
    <xf numFmtId="11" fontId="0" fillId="0" borderId="30" xfId="0" applyNumberFormat="1" applyBorder="1"/>
    <xf numFmtId="11" fontId="0" fillId="0" borderId="50" xfId="0" applyNumberFormat="1" applyBorder="1"/>
    <xf numFmtId="11" fontId="0" fillId="0" borderId="51" xfId="0" applyNumberFormat="1" applyBorder="1"/>
    <xf numFmtId="11" fontId="0" fillId="0" borderId="52" xfId="0" applyNumberFormat="1" applyBorder="1"/>
    <xf numFmtId="11" fontId="0" fillId="0" borderId="31" xfId="0" applyNumberFormat="1" applyBorder="1"/>
    <xf numFmtId="11" fontId="0" fillId="0" borderId="32" xfId="0" applyNumberFormat="1" applyBorder="1"/>
    <xf numFmtId="11" fontId="0" fillId="0" borderId="33" xfId="0" applyNumberFormat="1" applyBorder="1"/>
    <xf numFmtId="11" fontId="0" fillId="0" borderId="34" xfId="0" applyNumberFormat="1" applyBorder="1"/>
    <xf numFmtId="11" fontId="0" fillId="0" borderId="35" xfId="0" applyNumberFormat="1" applyBorder="1"/>
    <xf numFmtId="0" fontId="0" fillId="0" borderId="49" xfId="0" applyBorder="1"/>
    <xf numFmtId="0" fontId="0" fillId="0" borderId="53" xfId="0" applyBorder="1"/>
    <xf numFmtId="0" fontId="0" fillId="0" borderId="54" xfId="0" applyBorder="1"/>
    <xf numFmtId="0" fontId="3" fillId="13" borderId="21" xfId="0" applyFont="1" applyFill="1" applyBorder="1" applyAlignment="1"/>
    <xf numFmtId="0" fontId="0" fillId="13" borderId="21" xfId="0" applyFill="1" applyBorder="1"/>
    <xf numFmtId="0" fontId="7" fillId="6" borderId="12" xfId="0" applyFont="1" applyFill="1" applyBorder="1"/>
    <xf numFmtId="0" fontId="7" fillId="6" borderId="39" xfId="0" applyFont="1" applyFill="1" applyBorder="1"/>
    <xf numFmtId="0" fontId="7" fillId="6" borderId="13" xfId="0" applyFont="1" applyFill="1" applyBorder="1"/>
    <xf numFmtId="0" fontId="2" fillId="12" borderId="12" xfId="0" applyFont="1" applyFill="1" applyBorder="1"/>
    <xf numFmtId="0" fontId="0" fillId="12" borderId="10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3" xfId="0" applyFill="1" applyBorder="1"/>
    <xf numFmtId="0" fontId="0" fillId="12" borderId="15" xfId="0" applyFill="1" applyBorder="1"/>
    <xf numFmtId="0" fontId="0" fillId="12" borderId="6" xfId="0" applyFill="1" applyBorder="1"/>
    <xf numFmtId="164" fontId="3" fillId="9" borderId="6" xfId="2" applyNumberFormat="1" applyFont="1" applyFill="1" applyBorder="1"/>
    <xf numFmtId="164" fontId="3" fillId="9" borderId="6" xfId="0" applyNumberFormat="1" applyFont="1" applyFill="1" applyBorder="1"/>
    <xf numFmtId="0" fontId="0" fillId="0" borderId="0" xfId="0"/>
    <xf numFmtId="0" fontId="3" fillId="6" borderId="3" xfId="0" applyFont="1" applyFill="1" applyBorder="1"/>
    <xf numFmtId="0" fontId="3" fillId="6" borderId="1" xfId="0" applyFont="1" applyFill="1" applyBorder="1"/>
    <xf numFmtId="14" fontId="2" fillId="6" borderId="4" xfId="0" applyNumberFormat="1" applyFont="1" applyFill="1" applyBorder="1"/>
    <xf numFmtId="19" fontId="2" fillId="6" borderId="6" xfId="0" applyNumberFormat="1" applyFont="1" applyFill="1" applyBorder="1"/>
    <xf numFmtId="0" fontId="2" fillId="12" borderId="4" xfId="0" applyFont="1" applyFill="1" applyBorder="1" applyAlignment="1">
      <alignment vertical="center"/>
    </xf>
    <xf numFmtId="0" fontId="0" fillId="0" borderId="0" xfId="0"/>
    <xf numFmtId="14" fontId="0" fillId="0" borderId="0" xfId="0" applyNumberFormat="1"/>
    <xf numFmtId="19" fontId="0" fillId="0" borderId="0" xfId="0" applyNumberFormat="1"/>
    <xf numFmtId="0" fontId="7" fillId="6" borderId="10" xfId="0" applyFont="1" applyFill="1" applyBorder="1"/>
    <xf numFmtId="14" fontId="0" fillId="0" borderId="4" xfId="0" applyNumberFormat="1" applyBorder="1"/>
    <xf numFmtId="19" fontId="0" fillId="0" borderId="6" xfId="0" applyNumberFormat="1" applyBorder="1"/>
    <xf numFmtId="0" fontId="32" fillId="0" borderId="25" xfId="0" applyFont="1" applyBorder="1" applyAlignment="1">
      <alignment wrapText="1"/>
    </xf>
    <xf numFmtId="165" fontId="0" fillId="0" borderId="8" xfId="0" applyNumberFormat="1" applyBorder="1"/>
    <xf numFmtId="165" fontId="0" fillId="0" borderId="8" xfId="0" applyNumberFormat="1" applyFill="1" applyBorder="1"/>
    <xf numFmtId="165" fontId="0" fillId="0" borderId="23" xfId="0" applyNumberFormat="1" applyBorder="1"/>
    <xf numFmtId="165" fontId="0" fillId="0" borderId="23" xfId="0" applyNumberFormat="1" applyFill="1" applyBorder="1"/>
    <xf numFmtId="172" fontId="0" fillId="0" borderId="6" xfId="1" applyNumberFormat="1" applyFont="1" applyBorder="1"/>
    <xf numFmtId="2" fontId="0" fillId="0" borderId="5" xfId="0" applyNumberFormat="1" applyBorder="1"/>
    <xf numFmtId="43" fontId="0" fillId="0" borderId="0" xfId="1" applyFont="1" applyBorder="1"/>
    <xf numFmtId="43" fontId="0" fillId="0" borderId="0" xfId="1" applyFont="1" applyFill="1" applyBorder="1"/>
    <xf numFmtId="43" fontId="0" fillId="0" borderId="5" xfId="1" applyFont="1" applyBorder="1"/>
    <xf numFmtId="172" fontId="0" fillId="0" borderId="8" xfId="1" applyNumberFormat="1" applyFont="1" applyBorder="1"/>
    <xf numFmtId="172" fontId="0" fillId="0" borderId="8" xfId="1" applyNumberFormat="1" applyFont="1" applyFill="1" applyBorder="1"/>
    <xf numFmtId="172" fontId="5" fillId="3" borderId="11" xfId="1" applyNumberFormat="1" applyFont="1" applyFill="1" applyBorder="1"/>
    <xf numFmtId="0" fontId="6" fillId="4" borderId="56" xfId="5" applyBorder="1"/>
    <xf numFmtId="172" fontId="5" fillId="3" borderId="9" xfId="1" applyNumberFormat="1" applyFont="1" applyFill="1" applyBorder="1"/>
    <xf numFmtId="172" fontId="5" fillId="3" borderId="8" xfId="1" applyNumberFormat="1" applyFont="1" applyFill="1" applyBorder="1"/>
    <xf numFmtId="172" fontId="5" fillId="3" borderId="6" xfId="1" applyNumberFormat="1" applyFont="1" applyFill="1" applyBorder="1"/>
    <xf numFmtId="172" fontId="5" fillId="3" borderId="1" xfId="1" applyNumberFormat="1" applyFont="1" applyFill="1" applyBorder="1"/>
    <xf numFmtId="172" fontId="5" fillId="3" borderId="7" xfId="1" applyNumberFormat="1" applyFont="1" applyFill="1" applyBorder="1"/>
    <xf numFmtId="172" fontId="5" fillId="3" borderId="4" xfId="1" applyNumberFormat="1" applyFont="1" applyFill="1" applyBorder="1"/>
    <xf numFmtId="174" fontId="0" fillId="0" borderId="30" xfId="1" applyNumberFormat="1" applyFont="1" applyBorder="1"/>
    <xf numFmtId="172" fontId="0" fillId="0" borderId="30" xfId="1" applyNumberFormat="1" applyFont="1" applyFill="1" applyBorder="1"/>
    <xf numFmtId="175" fontId="0" fillId="0" borderId="30" xfId="1" applyNumberFormat="1" applyFont="1" applyBorder="1"/>
    <xf numFmtId="174" fontId="0" fillId="0" borderId="30" xfId="1" applyNumberFormat="1" applyFont="1" applyFill="1" applyBorder="1"/>
    <xf numFmtId="173" fontId="0" fillId="0" borderId="55" xfId="1" applyNumberFormat="1" applyFont="1" applyBorder="1"/>
    <xf numFmtId="164" fontId="0" fillId="0" borderId="32" xfId="2" applyNumberFormat="1" applyFont="1" applyBorder="1"/>
    <xf numFmtId="164" fontId="34" fillId="3" borderId="6" xfId="4" applyNumberFormat="1" applyFont="1" applyBorder="1"/>
    <xf numFmtId="167" fontId="10" fillId="5" borderId="1" xfId="8" applyNumberFormat="1" applyFill="1" applyBorder="1"/>
    <xf numFmtId="167" fontId="10" fillId="5" borderId="7" xfId="8" applyNumberFormat="1" applyFill="1" applyBorder="1"/>
    <xf numFmtId="167" fontId="0" fillId="0" borderId="7" xfId="9" applyNumberFormat="1" applyFont="1" applyBorder="1"/>
    <xf numFmtId="167" fontId="12" fillId="5" borderId="9" xfId="8" applyNumberFormat="1" applyFont="1" applyFill="1" applyBorder="1"/>
    <xf numFmtId="167" fontId="10" fillId="0" borderId="3" xfId="8" applyNumberFormat="1" applyFill="1" applyBorder="1"/>
    <xf numFmtId="167" fontId="10" fillId="0" borderId="8" xfId="8" applyNumberFormat="1" applyFill="1" applyBorder="1"/>
    <xf numFmtId="0" fontId="10" fillId="0" borderId="10" xfId="8" applyBorder="1"/>
    <xf numFmtId="167" fontId="10" fillId="0" borderId="6" xfId="8" applyNumberFormat="1" applyFill="1" applyBorder="1"/>
    <xf numFmtId="169" fontId="6" fillId="4" borderId="56" xfId="5" applyNumberFormat="1" applyBorder="1"/>
    <xf numFmtId="0" fontId="33" fillId="14" borderId="4" xfId="12" applyBorder="1"/>
    <xf numFmtId="0" fontId="33" fillId="14" borderId="5" xfId="12" applyBorder="1"/>
    <xf numFmtId="172" fontId="33" fillId="14" borderId="5" xfId="12" applyNumberFormat="1" applyBorder="1"/>
    <xf numFmtId="169" fontId="33" fillId="14" borderId="5" xfId="12" applyNumberFormat="1" applyBorder="1"/>
    <xf numFmtId="2" fontId="33" fillId="14" borderId="5" xfId="12" applyNumberFormat="1" applyBorder="1"/>
    <xf numFmtId="0" fontId="33" fillId="14" borderId="6" xfId="12" applyBorder="1"/>
    <xf numFmtId="2" fontId="33" fillId="14" borderId="0" xfId="12" applyNumberFormat="1"/>
    <xf numFmtId="9" fontId="0" fillId="0" borderId="0" xfId="3" applyFont="1" applyBorder="1"/>
    <xf numFmtId="164" fontId="35" fillId="3" borderId="3" xfId="4" applyNumberFormat="1" applyFont="1" applyBorder="1"/>
    <xf numFmtId="164" fontId="35" fillId="3" borderId="11" xfId="4" applyNumberFormat="1" applyFont="1" applyBorder="1" applyAlignment="1"/>
    <xf numFmtId="164" fontId="35" fillId="3" borderId="11" xfId="2" applyNumberFormat="1" applyFont="1" applyFill="1" applyBorder="1" applyAlignment="1"/>
    <xf numFmtId="164" fontId="34" fillId="3" borderId="11" xfId="4" applyNumberFormat="1" applyFont="1" applyBorder="1"/>
    <xf numFmtId="0" fontId="0" fillId="0" borderId="0" xfId="0"/>
    <xf numFmtId="165" fontId="0" fillId="0" borderId="6" xfId="0" applyNumberFormat="1" applyBorder="1"/>
    <xf numFmtId="165" fontId="0" fillId="0" borderId="25" xfId="0" applyNumberFormat="1" applyBorder="1"/>
    <xf numFmtId="9" fontId="0" fillId="0" borderId="5" xfId="3" applyFont="1" applyBorder="1"/>
    <xf numFmtId="0" fontId="6" fillId="4" borderId="24" xfId="5" applyBorder="1"/>
    <xf numFmtId="165" fontId="6" fillId="4" borderId="47" xfId="5" applyNumberFormat="1" applyBorder="1"/>
    <xf numFmtId="44" fontId="6" fillId="4" borderId="19" xfId="2" applyFont="1" applyFill="1" applyBorder="1"/>
    <xf numFmtId="44" fontId="0" fillId="0" borderId="0" xfId="0" applyNumberFormat="1" applyBorder="1"/>
    <xf numFmtId="176" fontId="0" fillId="0" borderId="0" xfId="0" applyNumberFormat="1" applyBorder="1"/>
    <xf numFmtId="177" fontId="0" fillId="0" borderId="0" xfId="0" applyNumberFormat="1" applyBorder="1"/>
    <xf numFmtId="44" fontId="0" fillId="0" borderId="0" xfId="2" applyFont="1" applyBorder="1"/>
    <xf numFmtId="0" fontId="12" fillId="0" borderId="0" xfId="8" applyFont="1"/>
    <xf numFmtId="164" fontId="10" fillId="0" borderId="3" xfId="2" applyNumberFormat="1" applyFont="1" applyBorder="1"/>
    <xf numFmtId="164" fontId="10" fillId="0" borderId="8" xfId="2" applyNumberFormat="1" applyFont="1" applyBorder="1"/>
    <xf numFmtId="0" fontId="10" fillId="0" borderId="7" xfId="8" applyBorder="1"/>
    <xf numFmtId="0" fontId="12" fillId="0" borderId="4" xfId="8" applyFont="1" applyBorder="1"/>
    <xf numFmtId="164" fontId="12" fillId="0" borderId="6" xfId="2" applyNumberFormat="1" applyFont="1" applyBorder="1"/>
    <xf numFmtId="0" fontId="12" fillId="5" borderId="1" xfId="8" applyFont="1" applyFill="1" applyBorder="1"/>
    <xf numFmtId="0" fontId="12" fillId="0" borderId="1" xfId="8" applyFont="1" applyBorder="1"/>
    <xf numFmtId="0" fontId="12" fillId="0" borderId="9" xfId="8" applyFont="1" applyBorder="1"/>
    <xf numFmtId="164" fontId="12" fillId="0" borderId="11" xfId="2" applyNumberFormat="1" applyFont="1" applyBorder="1"/>
    <xf numFmtId="0" fontId="12" fillId="0" borderId="10" xfId="8" applyFont="1" applyBorder="1"/>
    <xf numFmtId="0" fontId="12" fillId="0" borderId="5" xfId="8" applyFont="1" applyBorder="1"/>
    <xf numFmtId="164" fontId="12" fillId="0" borderId="6" xfId="8" applyNumberFormat="1" applyFont="1" applyBorder="1"/>
    <xf numFmtId="164" fontId="12" fillId="0" borderId="3" xfId="2" applyNumberFormat="1" applyFont="1" applyBorder="1"/>
    <xf numFmtId="0" fontId="33" fillId="14" borderId="0" xfId="12" applyBorder="1"/>
    <xf numFmtId="10" fontId="33" fillId="14" borderId="0" xfId="12" applyNumberFormat="1" applyBorder="1"/>
    <xf numFmtId="167" fontId="33" fillId="14" borderId="0" xfId="12" applyNumberFormat="1" applyBorder="1"/>
    <xf numFmtId="0" fontId="33" fillId="14" borderId="26" xfId="12" applyBorder="1"/>
    <xf numFmtId="167" fontId="33" fillId="14" borderId="26" xfId="12" applyNumberFormat="1" applyBorder="1" applyAlignment="1">
      <alignment vertical="center"/>
    </xf>
    <xf numFmtId="167" fontId="33" fillId="14" borderId="26" xfId="12" applyNumberFormat="1" applyBorder="1"/>
    <xf numFmtId="0" fontId="27" fillId="7" borderId="30" xfId="0" applyFont="1" applyFill="1" applyBorder="1" applyAlignment="1">
      <alignment horizontal="center"/>
    </xf>
    <xf numFmtId="0" fontId="11" fillId="10" borderId="11" xfId="8" applyFont="1" applyFill="1" applyBorder="1"/>
    <xf numFmtId="0" fontId="2" fillId="7" borderId="7" xfId="0" applyFont="1" applyFill="1" applyBorder="1" applyAlignment="1"/>
    <xf numFmtId="0" fontId="2" fillId="7" borderId="0" xfId="0" applyFont="1" applyFill="1" applyBorder="1" applyAlignment="1"/>
    <xf numFmtId="0" fontId="2" fillId="7" borderId="8" xfId="0" applyFont="1" applyFill="1" applyBorder="1" applyAlignment="1"/>
    <xf numFmtId="9" fontId="6" fillId="4" borderId="24" xfId="3" applyFont="1" applyFill="1" applyBorder="1"/>
    <xf numFmtId="0" fontId="25" fillId="10" borderId="9" xfId="0" applyFont="1" applyFill="1" applyBorder="1" applyAlignment="1"/>
    <xf numFmtId="0" fontId="25" fillId="10" borderId="10" xfId="0" applyFont="1" applyFill="1" applyBorder="1" applyAlignment="1"/>
    <xf numFmtId="0" fontId="25" fillId="10" borderId="11" xfId="0" applyFont="1" applyFill="1" applyBorder="1" applyAlignment="1"/>
    <xf numFmtId="0" fontId="0" fillId="0" borderId="0" xfId="2" applyNumberFormat="1" applyFont="1" applyBorder="1"/>
    <xf numFmtId="0" fontId="0" fillId="0" borderId="0" xfId="0"/>
    <xf numFmtId="0" fontId="14" fillId="0" borderId="7" xfId="4" applyFont="1" applyFill="1" applyBorder="1"/>
    <xf numFmtId="0" fontId="14" fillId="0" borderId="0" xfId="4" applyFont="1" applyFill="1" applyBorder="1"/>
    <xf numFmtId="2" fontId="14" fillId="0" borderId="8" xfId="4" applyNumberFormat="1" applyFont="1" applyFill="1" applyBorder="1"/>
    <xf numFmtId="0" fontId="14" fillId="0" borderId="4" xfId="4" applyFont="1" applyFill="1" applyBorder="1"/>
    <xf numFmtId="0" fontId="14" fillId="0" borderId="5" xfId="4" applyFont="1" applyFill="1" applyBorder="1"/>
    <xf numFmtId="2" fontId="14" fillId="0" borderId="6" xfId="4" applyNumberFormat="1" applyFont="1" applyFill="1" applyBorder="1"/>
    <xf numFmtId="43" fontId="0" fillId="0" borderId="3" xfId="1" applyFont="1" applyBorder="1"/>
    <xf numFmtId="43" fontId="0" fillId="0" borderId="8" xfId="1" applyFont="1" applyBorder="1"/>
    <xf numFmtId="43" fontId="14" fillId="0" borderId="8" xfId="1" applyFont="1" applyFill="1" applyBorder="1"/>
    <xf numFmtId="43" fontId="14" fillId="0" borderId="6" xfId="1" applyFont="1" applyFill="1" applyBorder="1"/>
    <xf numFmtId="0" fontId="14" fillId="0" borderId="2" xfId="4" applyFont="1" applyFill="1" applyBorder="1"/>
    <xf numFmtId="165" fontId="14" fillId="0" borderId="3" xfId="4" applyNumberFormat="1" applyFont="1" applyFill="1" applyBorder="1"/>
    <xf numFmtId="165" fontId="14" fillId="0" borderId="8" xfId="4" applyNumberFormat="1" applyFont="1" applyFill="1" applyBorder="1"/>
    <xf numFmtId="165" fontId="14" fillId="0" borderId="6" xfId="4" applyNumberFormat="1" applyFont="1" applyFill="1" applyBorder="1"/>
    <xf numFmtId="0" fontId="0" fillId="0" borderId="7" xfId="0" quotePrefix="1" applyBorder="1"/>
    <xf numFmtId="0" fontId="0" fillId="0" borderId="1" xfId="0" quotePrefix="1" applyBorder="1"/>
    <xf numFmtId="165" fontId="0" fillId="0" borderId="3" xfId="0" applyNumberFormat="1" applyBorder="1"/>
    <xf numFmtId="0" fontId="0" fillId="0" borderId="4" xfId="0" quotePrefix="1" applyBorder="1"/>
    <xf numFmtId="0" fontId="38" fillId="0" borderId="6" xfId="13" applyBorder="1"/>
    <xf numFmtId="0" fontId="38" fillId="0" borderId="8" xfId="13" applyBorder="1"/>
    <xf numFmtId="0" fontId="0" fillId="0" borderId="7" xfId="0" applyBorder="1" applyAlignment="1">
      <alignment horizontal="right"/>
    </xf>
    <xf numFmtId="0" fontId="0" fillId="0" borderId="4" xfId="0" applyBorder="1" applyAlignment="1">
      <alignment horizontal="right"/>
    </xf>
    <xf numFmtId="0" fontId="14" fillId="0" borderId="1" xfId="4" quotePrefix="1" applyFont="1" applyFill="1" applyBorder="1"/>
    <xf numFmtId="0" fontId="14" fillId="0" borderId="7" xfId="4" quotePrefix="1" applyFont="1" applyFill="1" applyBorder="1"/>
    <xf numFmtId="164" fontId="0" fillId="0" borderId="2" xfId="9" applyNumberFormat="1" applyFont="1" applyBorder="1"/>
    <xf numFmtId="164" fontId="0" fillId="0" borderId="0" xfId="9" applyNumberFormat="1" applyFont="1" applyBorder="1"/>
    <xf numFmtId="0" fontId="12" fillId="5" borderId="4" xfId="8" applyFont="1" applyFill="1" applyBorder="1"/>
    <xf numFmtId="164" fontId="7" fillId="0" borderId="5" xfId="9" applyNumberFormat="1" applyFont="1" applyBorder="1"/>
    <xf numFmtId="164" fontId="0" fillId="0" borderId="5" xfId="9" applyNumberFormat="1" applyFont="1" applyBorder="1"/>
    <xf numFmtId="0" fontId="18" fillId="15" borderId="9" xfId="0" applyFont="1" applyFill="1" applyBorder="1"/>
    <xf numFmtId="0" fontId="7" fillId="16" borderId="9" xfId="0" applyFont="1" applyFill="1" applyBorder="1"/>
    <xf numFmtId="0" fontId="7" fillId="16" borderId="10" xfId="0" applyFont="1" applyFill="1" applyBorder="1"/>
    <xf numFmtId="0" fontId="7" fillId="16" borderId="11" xfId="0" applyFont="1" applyFill="1" applyBorder="1"/>
    <xf numFmtId="0" fontId="3" fillId="17" borderId="1" xfId="0" applyFont="1" applyFill="1" applyBorder="1"/>
    <xf numFmtId="0" fontId="3" fillId="17" borderId="2" xfId="0" applyFont="1" applyFill="1" applyBorder="1"/>
    <xf numFmtId="2" fontId="3" fillId="17" borderId="2" xfId="0" applyNumberFormat="1" applyFont="1" applyFill="1" applyBorder="1"/>
    <xf numFmtId="0" fontId="3" fillId="17" borderId="3" xfId="0" applyFont="1" applyFill="1" applyBorder="1"/>
    <xf numFmtId="0" fontId="3" fillId="17" borderId="4" xfId="0" applyFont="1" applyFill="1" applyBorder="1"/>
    <xf numFmtId="0" fontId="3" fillId="17" borderId="5" xfId="0" applyFont="1" applyFill="1" applyBorder="1"/>
    <xf numFmtId="0" fontId="3" fillId="17" borderId="6" xfId="0" applyFont="1" applyFill="1" applyBorder="1"/>
    <xf numFmtId="172" fontId="3" fillId="10" borderId="2" xfId="1" applyNumberFormat="1" applyFont="1" applyFill="1" applyBorder="1"/>
    <xf numFmtId="172" fontId="3" fillId="17" borderId="2" xfId="1" applyNumberFormat="1" applyFont="1" applyFill="1" applyBorder="1"/>
    <xf numFmtId="0" fontId="17" fillId="17" borderId="1" xfId="0" applyFont="1" applyFill="1" applyBorder="1" applyAlignment="1"/>
    <xf numFmtId="0" fontId="17" fillId="17" borderId="2" xfId="0" applyFont="1" applyFill="1" applyBorder="1" applyAlignment="1"/>
    <xf numFmtId="0" fontId="17" fillId="17" borderId="3" xfId="0" applyFont="1" applyFill="1" applyBorder="1" applyAlignment="1"/>
    <xf numFmtId="173" fontId="3" fillId="17" borderId="5" xfId="0" applyNumberFormat="1" applyFont="1" applyFill="1" applyBorder="1"/>
    <xf numFmtId="0" fontId="3" fillId="17" borderId="7" xfId="0" applyFont="1" applyFill="1" applyBorder="1"/>
    <xf numFmtId="0" fontId="3" fillId="17" borderId="0" xfId="0" applyFont="1" applyFill="1" applyBorder="1"/>
    <xf numFmtId="172" fontId="3" fillId="17" borderId="0" xfId="1" applyNumberFormat="1" applyFont="1" applyFill="1" applyBorder="1"/>
    <xf numFmtId="2" fontId="3" fillId="17" borderId="0" xfId="0" applyNumberFormat="1" applyFont="1" applyFill="1" applyBorder="1"/>
    <xf numFmtId="0" fontId="3" fillId="17" borderId="8" xfId="0" applyFont="1" applyFill="1" applyBorder="1"/>
    <xf numFmtId="172" fontId="3" fillId="17" borderId="0" xfId="0" applyNumberFormat="1" applyFont="1" applyFill="1" applyBorder="1"/>
    <xf numFmtId="0" fontId="12" fillId="16" borderId="22" xfId="0" applyFont="1" applyFill="1" applyBorder="1"/>
    <xf numFmtId="0" fontId="12" fillId="16" borderId="12" xfId="0" applyFont="1" applyFill="1" applyBorder="1"/>
    <xf numFmtId="0" fontId="12" fillId="16" borderId="2" xfId="0" applyFont="1" applyFill="1" applyBorder="1"/>
    <xf numFmtId="0" fontId="12" fillId="16" borderId="48" xfId="0" applyFont="1" applyFill="1" applyBorder="1"/>
    <xf numFmtId="0" fontId="12" fillId="16" borderId="13" xfId="0" applyFont="1" applyFill="1" applyBorder="1"/>
    <xf numFmtId="0" fontId="31" fillId="15" borderId="21" xfId="0" applyFont="1" applyFill="1" applyBorder="1"/>
    <xf numFmtId="0" fontId="12" fillId="15" borderId="21" xfId="0" applyFont="1" applyFill="1" applyBorder="1"/>
    <xf numFmtId="0" fontId="7" fillId="16" borderId="16" xfId="0" applyFont="1" applyFill="1" applyBorder="1"/>
    <xf numFmtId="0" fontId="7" fillId="16" borderId="14" xfId="0" applyFont="1" applyFill="1" applyBorder="1"/>
    <xf numFmtId="0" fontId="7" fillId="16" borderId="3" xfId="0" applyFont="1" applyFill="1" applyBorder="1"/>
    <xf numFmtId="0" fontId="7" fillId="16" borderId="18" xfId="0" applyFont="1" applyFill="1" applyBorder="1"/>
    <xf numFmtId="0" fontId="7" fillId="16" borderId="15" xfId="0" applyFont="1" applyFill="1" applyBorder="1"/>
    <xf numFmtId="0" fontId="7" fillId="16" borderId="6" xfId="0" applyFont="1" applyFill="1" applyBorder="1"/>
    <xf numFmtId="0" fontId="7" fillId="16" borderId="5" xfId="0" applyFont="1" applyFill="1" applyBorder="1"/>
    <xf numFmtId="0" fontId="7" fillId="16" borderId="57" xfId="0" applyFont="1" applyFill="1" applyBorder="1"/>
    <xf numFmtId="0" fontId="7" fillId="16" borderId="12" xfId="0" applyFont="1" applyFill="1" applyBorder="1"/>
    <xf numFmtId="0" fontId="7" fillId="16" borderId="13" xfId="0" applyFont="1" applyFill="1" applyBorder="1"/>
    <xf numFmtId="0" fontId="7" fillId="16" borderId="60" xfId="0" applyFont="1" applyFill="1" applyBorder="1"/>
    <xf numFmtId="0" fontId="7" fillId="16" borderId="61" xfId="0" applyFont="1" applyFill="1" applyBorder="1"/>
    <xf numFmtId="0" fontId="0" fillId="0" borderId="8" xfId="0" applyFill="1" applyBorder="1"/>
    <xf numFmtId="11" fontId="0" fillId="0" borderId="7" xfId="0" applyNumberFormat="1" applyBorder="1"/>
    <xf numFmtId="11" fontId="0" fillId="0" borderId="0" xfId="0" applyNumberFormat="1" applyBorder="1"/>
    <xf numFmtId="11" fontId="0" fillId="0" borderId="8" xfId="0" applyNumberFormat="1" applyBorder="1"/>
    <xf numFmtId="11" fontId="0" fillId="0" borderId="4" xfId="0" applyNumberFormat="1" applyBorder="1"/>
    <xf numFmtId="11" fontId="0" fillId="0" borderId="5" xfId="0" applyNumberFormat="1" applyBorder="1"/>
    <xf numFmtId="11" fontId="0" fillId="0" borderId="6" xfId="0" applyNumberFormat="1" applyBorder="1"/>
    <xf numFmtId="0" fontId="2" fillId="7" borderId="4" xfId="0" applyFont="1" applyFill="1" applyBorder="1" applyAlignment="1"/>
    <xf numFmtId="0" fontId="2" fillId="7" borderId="5" xfId="0" applyFont="1" applyFill="1" applyBorder="1" applyAlignment="1"/>
    <xf numFmtId="0" fontId="2" fillId="7" borderId="6" xfId="0" applyFont="1" applyFill="1" applyBorder="1" applyAlignment="1"/>
    <xf numFmtId="0" fontId="0" fillId="0" borderId="4" xfId="0" applyFill="1" applyBorder="1"/>
    <xf numFmtId="172" fontId="6" fillId="4" borderId="19" xfId="5" applyNumberFormat="1"/>
    <xf numFmtId="172" fontId="6" fillId="4" borderId="62" xfId="5" applyNumberFormat="1" applyBorder="1"/>
    <xf numFmtId="172" fontId="6" fillId="4" borderId="63" xfId="5" applyNumberFormat="1" applyBorder="1"/>
    <xf numFmtId="0" fontId="5" fillId="3" borderId="23" xfId="4" applyBorder="1"/>
    <xf numFmtId="0" fontId="33" fillId="14" borderId="25" xfId="12" applyBorder="1"/>
    <xf numFmtId="0" fontId="6" fillId="4" borderId="64" xfId="5" applyBorder="1"/>
    <xf numFmtId="0" fontId="7" fillId="0" borderId="21" xfId="0" applyFont="1" applyBorder="1"/>
    <xf numFmtId="44" fontId="0" fillId="0" borderId="8" xfId="2" applyFont="1" applyBorder="1"/>
    <xf numFmtId="44" fontId="0" fillId="0" borderId="3" xfId="2" applyFont="1" applyBorder="1"/>
    <xf numFmtId="44" fontId="0" fillId="0" borderId="6" xfId="2" applyFont="1" applyBorder="1"/>
    <xf numFmtId="0" fontId="18" fillId="0" borderId="9" xfId="0" applyFont="1" applyFill="1" applyBorder="1"/>
    <xf numFmtId="44" fontId="18" fillId="0" borderId="11" xfId="0" applyNumberFormat="1" applyFont="1" applyBorder="1"/>
    <xf numFmtId="173" fontId="0" fillId="0" borderId="5" xfId="1" applyNumberFormat="1" applyFont="1" applyBorder="1"/>
    <xf numFmtId="43" fontId="0" fillId="0" borderId="6" xfId="1" applyFont="1" applyBorder="1"/>
    <xf numFmtId="0" fontId="18" fillId="0" borderId="0" xfId="0" applyFont="1"/>
    <xf numFmtId="11" fontId="18" fillId="0" borderId="9" xfId="0" applyNumberFormat="1" applyFont="1" applyBorder="1"/>
    <xf numFmtId="11" fontId="18" fillId="0" borderId="10" xfId="0" applyNumberFormat="1" applyFont="1" applyBorder="1"/>
    <xf numFmtId="11" fontId="18" fillId="0" borderId="11" xfId="0" applyNumberFormat="1" applyFont="1" applyBorder="1"/>
    <xf numFmtId="2" fontId="5" fillId="3" borderId="31" xfId="4" applyNumberFormat="1" applyFont="1" applyBorder="1"/>
    <xf numFmtId="2" fontId="10" fillId="0" borderId="31" xfId="0" applyNumberFormat="1" applyFont="1" applyBorder="1"/>
    <xf numFmtId="2" fontId="0" fillId="0" borderId="0" xfId="0" applyNumberFormat="1" applyFont="1"/>
    <xf numFmtId="2" fontId="5" fillId="3" borderId="30" xfId="4" applyNumberFormat="1" applyFont="1" applyBorder="1"/>
    <xf numFmtId="2" fontId="5" fillId="3" borderId="32" xfId="4" applyNumberFormat="1" applyFont="1" applyBorder="1"/>
    <xf numFmtId="2" fontId="0" fillId="0" borderId="65" xfId="0" applyNumberFormat="1" applyFont="1" applyFill="1" applyBorder="1"/>
    <xf numFmtId="2" fontId="10" fillId="0" borderId="30" xfId="0" applyNumberFormat="1" applyFont="1" applyBorder="1"/>
    <xf numFmtId="2" fontId="10" fillId="0" borderId="32" xfId="0" applyNumberFormat="1" applyFont="1" applyBorder="1"/>
    <xf numFmtId="2" fontId="0" fillId="0" borderId="66" xfId="0" applyNumberFormat="1" applyFont="1" applyBorder="1"/>
    <xf numFmtId="11" fontId="0" fillId="0" borderId="0" xfId="0" applyNumberFormat="1"/>
    <xf numFmtId="0" fontId="7" fillId="16" borderId="22" xfId="0" applyFont="1" applyFill="1" applyBorder="1"/>
    <xf numFmtId="0" fontId="7" fillId="16" borderId="25" xfId="0" applyFont="1" applyFill="1" applyBorder="1"/>
    <xf numFmtId="43" fontId="0" fillId="0" borderId="23" xfId="1" applyFont="1" applyBorder="1"/>
    <xf numFmtId="43" fontId="0" fillId="0" borderId="25" xfId="1" applyFont="1" applyBorder="1"/>
    <xf numFmtId="0" fontId="0" fillId="0" borderId="8" xfId="0" applyFont="1" applyFill="1" applyBorder="1"/>
    <xf numFmtId="0" fontId="0" fillId="0" borderId="6" xfId="0" applyFont="1" applyFill="1" applyBorder="1"/>
    <xf numFmtId="0" fontId="7" fillId="18" borderId="1" xfId="0" applyFont="1" applyFill="1" applyBorder="1"/>
    <xf numFmtId="0" fontId="7" fillId="18" borderId="3" xfId="0" applyFont="1" applyFill="1" applyBorder="1"/>
    <xf numFmtId="0" fontId="2" fillId="18" borderId="6" xfId="0" applyFont="1" applyFill="1" applyBorder="1"/>
    <xf numFmtId="0" fontId="7" fillId="18" borderId="9" xfId="0" applyFont="1" applyFill="1" applyBorder="1"/>
    <xf numFmtId="0" fontId="7" fillId="18" borderId="10" xfId="0" applyFont="1" applyFill="1" applyBorder="1"/>
    <xf numFmtId="0" fontId="7" fillId="18" borderId="11" xfId="0" applyFont="1" applyFill="1" applyBorder="1"/>
    <xf numFmtId="0" fontId="7" fillId="18" borderId="2" xfId="0" applyFont="1" applyFill="1" applyBorder="1"/>
    <xf numFmtId="2" fontId="0" fillId="0" borderId="55" xfId="0" applyNumberFormat="1" applyBorder="1"/>
    <xf numFmtId="43" fontId="0" fillId="0" borderId="30" xfId="1" applyNumberFormat="1" applyFont="1" applyBorder="1"/>
    <xf numFmtId="0" fontId="14" fillId="0" borderId="0" xfId="12" applyFont="1" applyFill="1" applyBorder="1"/>
    <xf numFmtId="173" fontId="14" fillId="0" borderId="0" xfId="12" applyNumberFormat="1" applyFont="1" applyFill="1"/>
    <xf numFmtId="0" fontId="0" fillId="0" borderId="57" xfId="0" applyBorder="1"/>
    <xf numFmtId="11" fontId="0" fillId="0" borderId="61" xfId="0" applyNumberFormat="1" applyBorder="1"/>
    <xf numFmtId="11" fontId="0" fillId="0" borderId="15" xfId="0" applyNumberFormat="1" applyBorder="1"/>
    <xf numFmtId="11" fontId="0" fillId="0" borderId="57" xfId="0" applyNumberFormat="1" applyBorder="1"/>
    <xf numFmtId="0" fontId="0" fillId="0" borderId="50" xfId="0" applyBorder="1"/>
    <xf numFmtId="0" fontId="0" fillId="0" borderId="52" xfId="0" applyBorder="1"/>
    <xf numFmtId="11" fontId="0" fillId="0" borderId="67" xfId="0" applyNumberFormat="1" applyBorder="1"/>
    <xf numFmtId="2" fontId="0" fillId="0" borderId="23" xfId="1" applyNumberFormat="1" applyFont="1" applyBorder="1"/>
    <xf numFmtId="44" fontId="0" fillId="0" borderId="2" xfId="2" applyFont="1" applyBorder="1"/>
    <xf numFmtId="44" fontId="0" fillId="0" borderId="5" xfId="2" applyFont="1" applyBorder="1"/>
    <xf numFmtId="173" fontId="14" fillId="0" borderId="0" xfId="12" applyNumberFormat="1" applyFont="1" applyFill="1" applyBorder="1"/>
    <xf numFmtId="9" fontId="0" fillId="0" borderId="2" xfId="3" applyFont="1" applyBorder="1"/>
    <xf numFmtId="9" fontId="18" fillId="0" borderId="10" xfId="3" applyFont="1" applyBorder="1"/>
    <xf numFmtId="44" fontId="18" fillId="0" borderId="10" xfId="2" applyFont="1" applyBorder="1"/>
    <xf numFmtId="44" fontId="18" fillId="0" borderId="11" xfId="2" applyFont="1" applyBorder="1"/>
    <xf numFmtId="0" fontId="18" fillId="19" borderId="9" xfId="0" applyFont="1" applyFill="1" applyBorder="1" applyAlignment="1"/>
    <xf numFmtId="0" fontId="18" fillId="19" borderId="10" xfId="0" applyFont="1" applyFill="1" applyBorder="1" applyAlignment="1"/>
    <xf numFmtId="0" fontId="18" fillId="19" borderId="11" xfId="0" applyFont="1" applyFill="1" applyBorder="1" applyAlignment="1"/>
    <xf numFmtId="44" fontId="7" fillId="0" borderId="3" xfId="2" applyFont="1" applyBorder="1"/>
    <xf numFmtId="0" fontId="7" fillId="18" borderId="22" xfId="0" applyFont="1" applyFill="1" applyBorder="1"/>
    <xf numFmtId="0" fontId="0" fillId="18" borderId="25" xfId="0" applyFill="1" applyBorder="1"/>
    <xf numFmtId="0" fontId="0" fillId="0" borderId="22" xfId="0" applyBorder="1"/>
    <xf numFmtId="0" fontId="7" fillId="0" borderId="22" xfId="0" applyFont="1" applyBorder="1"/>
    <xf numFmtId="0" fontId="18" fillId="0" borderId="21" xfId="0" applyFont="1" applyFill="1" applyBorder="1"/>
    <xf numFmtId="0" fontId="2" fillId="18" borderId="4" xfId="0" applyFont="1" applyFill="1" applyBorder="1"/>
    <xf numFmtId="44" fontId="0" fillId="0" borderId="1" xfId="2" applyFont="1" applyBorder="1"/>
    <xf numFmtId="44" fontId="0" fillId="0" borderId="7" xfId="2" applyFont="1" applyBorder="1"/>
    <xf numFmtId="44" fontId="0" fillId="0" borderId="4" xfId="2" applyFont="1" applyBorder="1"/>
    <xf numFmtId="44" fontId="18" fillId="0" borderId="9" xfId="0" applyNumberFormat="1" applyFont="1" applyBorder="1"/>
    <xf numFmtId="44" fontId="7" fillId="0" borderId="1" xfId="2" applyFont="1" applyBorder="1"/>
    <xf numFmtId="43" fontId="18" fillId="0" borderId="21" xfId="1" applyNumberFormat="1" applyFont="1" applyBorder="1"/>
    <xf numFmtId="0" fontId="7" fillId="18" borderId="21" xfId="0" applyFont="1" applyFill="1" applyBorder="1"/>
    <xf numFmtId="2" fontId="0" fillId="0" borderId="8" xfId="0" applyNumberFormat="1" applyBorder="1"/>
    <xf numFmtId="2" fontId="0" fillId="0" borderId="6" xfId="0" applyNumberFormat="1" applyBorder="1"/>
    <xf numFmtId="11" fontId="0" fillId="0" borderId="1" xfId="0" applyNumberFormat="1" applyBorder="1"/>
    <xf numFmtId="2" fontId="0" fillId="0" borderId="3" xfId="0" applyNumberFormat="1" applyBorder="1"/>
    <xf numFmtId="0" fontId="7" fillId="13" borderId="9" xfId="0" applyFont="1" applyFill="1" applyBorder="1" applyAlignment="1">
      <alignment horizontal="center"/>
    </xf>
    <xf numFmtId="0" fontId="7" fillId="13" borderId="1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17" fillId="2" borderId="6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2" borderId="4" xfId="0" applyFont="1" applyFill="1" applyBorder="1" applyAlignment="1">
      <alignment vertical="center"/>
    </xf>
    <xf numFmtId="0" fontId="0" fillId="12" borderId="9" xfId="0" applyFill="1" applyBorder="1" applyAlignment="1">
      <alignment horizontal="left" wrapText="1"/>
    </xf>
    <xf numFmtId="0" fontId="0" fillId="12" borderId="10" xfId="0" applyFill="1" applyBorder="1" applyAlignment="1">
      <alignment horizontal="left" wrapText="1"/>
    </xf>
    <xf numFmtId="0" fontId="0" fillId="12" borderId="11" xfId="0" applyFill="1" applyBorder="1" applyAlignment="1">
      <alignment horizontal="left" wrapText="1"/>
    </xf>
    <xf numFmtId="0" fontId="0" fillId="12" borderId="1" xfId="0" applyFill="1" applyBorder="1" applyAlignment="1">
      <alignment horizontal="left" wrapText="1"/>
    </xf>
    <xf numFmtId="0" fontId="0" fillId="12" borderId="2" xfId="0" applyFill="1" applyBorder="1" applyAlignment="1">
      <alignment horizontal="left" wrapText="1"/>
    </xf>
    <xf numFmtId="0" fontId="0" fillId="12" borderId="3" xfId="0" applyFill="1" applyBorder="1" applyAlignment="1">
      <alignment horizontal="left" wrapText="1"/>
    </xf>
    <xf numFmtId="0" fontId="0" fillId="12" borderId="4" xfId="0" applyFont="1" applyFill="1" applyBorder="1" applyAlignment="1">
      <alignment horizontal="left" vertical="center"/>
    </xf>
    <xf numFmtId="0" fontId="0" fillId="12" borderId="5" xfId="0" applyFont="1" applyFill="1" applyBorder="1" applyAlignment="1">
      <alignment horizontal="left" vertical="center"/>
    </xf>
    <xf numFmtId="0" fontId="0" fillId="12" borderId="6" xfId="0" applyFont="1" applyFill="1" applyBorder="1" applyAlignment="1">
      <alignment horizontal="left" vertic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20" fillId="13" borderId="9" xfId="0" applyFont="1" applyFill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" xfId="0" applyFont="1" applyBorder="1" applyAlignment="1">
      <alignment horizontal="center" wrapText="1"/>
    </xf>
    <xf numFmtId="0" fontId="12" fillId="0" borderId="2" xfId="0" applyFont="1" applyBorder="1" applyAlignment="1">
      <alignment horizontal="center" wrapText="1"/>
    </xf>
    <xf numFmtId="0" fontId="12" fillId="0" borderId="3" xfId="0" applyFont="1" applyBorder="1" applyAlignment="1">
      <alignment horizontal="center" wrapText="1"/>
    </xf>
    <xf numFmtId="0" fontId="12" fillId="0" borderId="4" xfId="0" applyFont="1" applyBorder="1" applyAlignment="1">
      <alignment horizontal="center" wrapText="1"/>
    </xf>
    <xf numFmtId="0" fontId="12" fillId="0" borderId="5" xfId="0" applyFont="1" applyBorder="1" applyAlignment="1">
      <alignment horizontal="center" wrapText="1"/>
    </xf>
    <xf numFmtId="0" fontId="12" fillId="0" borderId="6" xfId="0" applyFont="1" applyBorder="1" applyAlignment="1">
      <alignment horizontal="center" wrapText="1"/>
    </xf>
    <xf numFmtId="0" fontId="12" fillId="0" borderId="22" xfId="0" applyFont="1" applyBorder="1" applyAlignment="1">
      <alignment horizontal="center" wrapText="1"/>
    </xf>
    <xf numFmtId="0" fontId="12" fillId="0" borderId="23" xfId="0" applyFont="1" applyBorder="1" applyAlignment="1">
      <alignment horizontal="center" wrapText="1"/>
    </xf>
    <xf numFmtId="0" fontId="12" fillId="0" borderId="25" xfId="0" applyFont="1" applyBorder="1" applyAlignment="1">
      <alignment horizontal="center" wrapText="1"/>
    </xf>
    <xf numFmtId="0" fontId="12" fillId="0" borderId="1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2" fillId="0" borderId="58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7" fillId="7" borderId="31" xfId="0" applyFont="1" applyFill="1" applyBorder="1" applyAlignment="1">
      <alignment horizontal="center"/>
    </xf>
    <xf numFmtId="0" fontId="27" fillId="7" borderId="3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8" fillId="8" borderId="9" xfId="0" applyFont="1" applyFill="1" applyBorder="1" applyAlignment="1">
      <alignment horizontal="center"/>
    </xf>
    <xf numFmtId="0" fontId="18" fillId="8" borderId="10" xfId="0" applyFont="1" applyFill="1" applyBorder="1" applyAlignment="1">
      <alignment horizontal="center"/>
    </xf>
    <xf numFmtId="0" fontId="18" fillId="8" borderId="11" xfId="0" applyFont="1" applyFill="1" applyBorder="1" applyAlignment="1">
      <alignment horizontal="center"/>
    </xf>
    <xf numFmtId="0" fontId="22" fillId="8" borderId="10" xfId="0" applyFont="1" applyFill="1" applyBorder="1" applyAlignment="1">
      <alignment horizontal="center"/>
    </xf>
    <xf numFmtId="0" fontId="22" fillId="8" borderId="11" xfId="0" applyFont="1" applyFill="1" applyBorder="1" applyAlignment="1">
      <alignment horizontal="center"/>
    </xf>
    <xf numFmtId="0" fontId="11" fillId="10" borderId="9" xfId="8" applyFont="1" applyFill="1" applyBorder="1" applyAlignment="1">
      <alignment horizontal="left"/>
    </xf>
    <xf numFmtId="0" fontId="11" fillId="10" borderId="10" xfId="8" applyFont="1" applyFill="1" applyBorder="1" applyAlignment="1">
      <alignment horizontal="left"/>
    </xf>
    <xf numFmtId="0" fontId="11" fillId="10" borderId="11" xfId="8" applyFont="1" applyFill="1" applyBorder="1" applyAlignment="1">
      <alignment horizontal="left"/>
    </xf>
    <xf numFmtId="0" fontId="11" fillId="10" borderId="9" xfId="8" applyFont="1" applyFill="1" applyBorder="1" applyAlignment="1">
      <alignment horizontal="center"/>
    </xf>
    <xf numFmtId="0" fontId="11" fillId="10" borderId="10" xfId="8" applyFont="1" applyFill="1" applyBorder="1" applyAlignment="1">
      <alignment horizontal="center"/>
    </xf>
    <xf numFmtId="0" fontId="11" fillId="10" borderId="11" xfId="8" applyFont="1" applyFill="1" applyBorder="1" applyAlignment="1">
      <alignment horizontal="center"/>
    </xf>
    <xf numFmtId="0" fontId="36" fillId="10" borderId="9" xfId="8" applyFont="1" applyFill="1" applyBorder="1" applyAlignment="1">
      <alignment horizontal="center"/>
    </xf>
    <xf numFmtId="0" fontId="36" fillId="10" borderId="10" xfId="8" applyFont="1" applyFill="1" applyBorder="1" applyAlignment="1">
      <alignment horizontal="center"/>
    </xf>
    <xf numFmtId="0" fontId="7" fillId="0" borderId="22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2" fillId="15" borderId="9" xfId="0" applyFont="1" applyFill="1" applyBorder="1" applyAlignment="1">
      <alignment horizontal="center"/>
    </xf>
    <xf numFmtId="0" fontId="12" fillId="15" borderId="10" xfId="0" applyFont="1" applyFill="1" applyBorder="1" applyAlignment="1">
      <alignment horizontal="center"/>
    </xf>
    <xf numFmtId="0" fontId="12" fillId="15" borderId="1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5" borderId="2" xfId="0" applyFont="1" applyFill="1" applyBorder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5" borderId="4" xfId="0" applyFont="1" applyFill="1" applyBorder="1" applyAlignment="1">
      <alignment horizontal="center" vertical="center"/>
    </xf>
    <xf numFmtId="0" fontId="12" fillId="15" borderId="5" xfId="0" applyFont="1" applyFill="1" applyBorder="1" applyAlignment="1">
      <alignment horizontal="center" vertical="center"/>
    </xf>
    <xf numFmtId="0" fontId="12" fillId="15" borderId="6" xfId="0" applyFont="1" applyFill="1" applyBorder="1" applyAlignment="1">
      <alignment horizontal="center" vertical="center"/>
    </xf>
    <xf numFmtId="0" fontId="7" fillId="16" borderId="22" xfId="0" applyFont="1" applyFill="1" applyBorder="1" applyAlignment="1">
      <alignment horizontal="center" vertical="center"/>
    </xf>
    <xf numFmtId="0" fontId="7" fillId="16" borderId="25" xfId="0" applyFont="1" applyFill="1" applyBorder="1" applyAlignment="1">
      <alignment horizontal="center" vertical="center"/>
    </xf>
    <xf numFmtId="0" fontId="18" fillId="15" borderId="9" xfId="0" applyFont="1" applyFill="1" applyBorder="1" applyAlignment="1">
      <alignment horizontal="right"/>
    </xf>
    <xf numFmtId="0" fontId="18" fillId="15" borderId="10" xfId="0" applyFont="1" applyFill="1" applyBorder="1" applyAlignment="1">
      <alignment horizontal="right"/>
    </xf>
    <xf numFmtId="0" fontId="18" fillId="15" borderId="11" xfId="0" applyFont="1" applyFill="1" applyBorder="1" applyAlignment="1">
      <alignment horizontal="right"/>
    </xf>
    <xf numFmtId="0" fontId="0" fillId="0" borderId="7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18" fillId="15" borderId="9" xfId="0" applyFont="1" applyFill="1" applyBorder="1" applyAlignment="1">
      <alignment horizontal="center"/>
    </xf>
    <xf numFmtId="0" fontId="18" fillId="15" borderId="10" xfId="0" applyFont="1" applyFill="1" applyBorder="1" applyAlignment="1">
      <alignment horizontal="center"/>
    </xf>
    <xf numFmtId="0" fontId="18" fillId="15" borderId="11" xfId="0" applyFont="1" applyFill="1" applyBorder="1" applyAlignment="1">
      <alignment horizontal="center"/>
    </xf>
    <xf numFmtId="0" fontId="22" fillId="15" borderId="10" xfId="0" applyFont="1" applyFill="1" applyBorder="1" applyAlignment="1">
      <alignment horizontal="center"/>
    </xf>
    <xf numFmtId="0" fontId="22" fillId="15" borderId="11" xfId="0" applyFont="1" applyFill="1" applyBorder="1" applyAlignment="1">
      <alignment horizontal="center"/>
    </xf>
    <xf numFmtId="0" fontId="18" fillId="15" borderId="1" xfId="0" applyFont="1" applyFill="1" applyBorder="1" applyAlignment="1">
      <alignment horizontal="center" vertical="center"/>
    </xf>
    <xf numFmtId="0" fontId="18" fillId="15" borderId="2" xfId="0" applyFont="1" applyFill="1" applyBorder="1" applyAlignment="1">
      <alignment horizontal="center" vertical="center"/>
    </xf>
    <xf numFmtId="0" fontId="18" fillId="15" borderId="3" xfId="0" applyFont="1" applyFill="1" applyBorder="1" applyAlignment="1">
      <alignment horizontal="center" vertical="center"/>
    </xf>
    <xf numFmtId="0" fontId="18" fillId="15" borderId="4" xfId="0" applyFont="1" applyFill="1" applyBorder="1" applyAlignment="1">
      <alignment horizontal="center" vertical="center"/>
    </xf>
    <xf numFmtId="0" fontId="18" fillId="15" borderId="5" xfId="0" applyFont="1" applyFill="1" applyBorder="1" applyAlignment="1">
      <alignment horizontal="center" vertical="center"/>
    </xf>
    <xf numFmtId="0" fontId="18" fillId="15" borderId="6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left"/>
    </xf>
    <xf numFmtId="0" fontId="2" fillId="7" borderId="5" xfId="0" applyFont="1" applyFill="1" applyBorder="1" applyAlignment="1">
      <alignment horizontal="left"/>
    </xf>
    <xf numFmtId="0" fontId="2" fillId="7" borderId="6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8" xfId="0" applyBorder="1" applyAlignment="1">
      <alignment horizontal="left"/>
    </xf>
    <xf numFmtId="0" fontId="7" fillId="18" borderId="1" xfId="0" applyFont="1" applyFill="1" applyBorder="1" applyAlignment="1">
      <alignment horizontal="center"/>
    </xf>
    <xf numFmtId="0" fontId="7" fillId="18" borderId="3" xfId="0" applyFont="1" applyFill="1" applyBorder="1" applyAlignment="1">
      <alignment horizontal="center"/>
    </xf>
    <xf numFmtId="0" fontId="18" fillId="19" borderId="9" xfId="0" applyFont="1" applyFill="1" applyBorder="1" applyAlignment="1">
      <alignment horizontal="center"/>
    </xf>
    <xf numFmtId="0" fontId="18" fillId="19" borderId="10" xfId="0" applyFont="1" applyFill="1" applyBorder="1" applyAlignment="1">
      <alignment horizontal="center"/>
    </xf>
    <xf numFmtId="0" fontId="18" fillId="19" borderId="11" xfId="0" applyFont="1" applyFill="1" applyBorder="1" applyAlignment="1">
      <alignment horizontal="center"/>
    </xf>
  </cellXfs>
  <cellStyles count="14">
    <cellStyle name="Bad" xfId="12" builtinId="27"/>
    <cellStyle name="Comma" xfId="1" builtinId="3"/>
    <cellStyle name="Currency" xfId="2" builtinId="4"/>
    <cellStyle name="Currency 2" xfId="6" xr:uid="{00000000-0005-0000-0000-000003000000}"/>
    <cellStyle name="Currency 3" xfId="9" xr:uid="{00000000-0005-0000-0000-000004000000}"/>
    <cellStyle name="Good" xfId="4" builtinId="26"/>
    <cellStyle name="Hyperlink" xfId="13" builtinId="8"/>
    <cellStyle name="Input" xfId="5" builtinId="20"/>
    <cellStyle name="Normal" xfId="0" builtinId="0"/>
    <cellStyle name="Normal 2" xfId="8" xr:uid="{00000000-0005-0000-0000-000009000000}"/>
    <cellStyle name="Normal_Sheet1 (3) 2" xfId="11" xr:uid="{00000000-0005-0000-0000-00000A000000}"/>
    <cellStyle name="Percent" xfId="3" builtinId="5"/>
    <cellStyle name="Percent 2" xfId="7" xr:uid="{00000000-0005-0000-0000-00000C000000}"/>
    <cellStyle name="Percent 3" xfId="10" xr:uid="{00000000-0005-0000-0000-00000D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percentStacked"/>
        <c:varyColors val="0"/>
        <c:ser>
          <c:idx val="2"/>
          <c:order val="0"/>
          <c:tx>
            <c:strRef>
              <c:f>LifeCycleAssessment!$F$76</c:f>
              <c:strCache>
                <c:ptCount val="1"/>
                <c:pt idx="0">
                  <c:v>Feedstock (cultivation + dewater)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LifeCycleAssessment!$I$76:$S$76</c:f>
              <c:numCache>
                <c:formatCode>0.00E+00</c:formatCode>
                <c:ptCount val="11"/>
                <c:pt idx="0">
                  <c:v>1.643132765914833E-4</c:v>
                </c:pt>
                <c:pt idx="1">
                  <c:v>0.12961919008200024</c:v>
                </c:pt>
                <c:pt idx="2">
                  <c:v>1.2935300600947473E-4</c:v>
                </c:pt>
                <c:pt idx="3">
                  <c:v>-7.9345550566301298E-2</c:v>
                </c:pt>
                <c:pt idx="4">
                  <c:v>1.4587960867111536E-9</c:v>
                </c:pt>
                <c:pt idx="5">
                  <c:v>6.1528371934171395E-9</c:v>
                </c:pt>
                <c:pt idx="6">
                  <c:v>2.8454608102546838E-9</c:v>
                </c:pt>
                <c:pt idx="7">
                  <c:v>1.4314857467027224E-3</c:v>
                </c:pt>
                <c:pt idx="8">
                  <c:v>3.9199858752789495E-2</c:v>
                </c:pt>
                <c:pt idx="9">
                  <c:v>3.5362900612469005E-5</c:v>
                </c:pt>
                <c:pt idx="10" formatCode="_(* #,##0.00_);_(* \(#,##0.00\);_(* &quot;-&quot;??_);_(@_)">
                  <c:v>8.43845610575574E-2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9-4FE6-ACD2-ED6189A6DC89}"/>
            </c:ext>
          </c:extLst>
        </c:ser>
        <c:ser>
          <c:idx val="4"/>
          <c:order val="1"/>
          <c:tx>
            <c:strRef>
              <c:f>LifeCycleAssessment!$F$77</c:f>
              <c:strCache>
                <c:ptCount val="1"/>
                <c:pt idx="0">
                  <c:v>Natural gas (extraction + transport)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LifeCycleAssessment!$I$77:$S$77</c:f>
              <c:numCache>
                <c:formatCode>0.00E+00</c:formatCode>
                <c:ptCount val="11"/>
                <c:pt idx="0">
                  <c:v>2.3090992836081224E-7</c:v>
                </c:pt>
                <c:pt idx="1">
                  <c:v>1.2140413975480185E-4</c:v>
                </c:pt>
                <c:pt idx="2">
                  <c:v>2.640856175119115E-8</c:v>
                </c:pt>
                <c:pt idx="3">
                  <c:v>3.7007258057881365E-5</c:v>
                </c:pt>
                <c:pt idx="4">
                  <c:v>6.1567769192506502E-13</c:v>
                </c:pt>
                <c:pt idx="5">
                  <c:v>2.575431789570521E-12</c:v>
                </c:pt>
                <c:pt idx="6">
                  <c:v>1.2817809542685387E-12</c:v>
                </c:pt>
                <c:pt idx="7">
                  <c:v>8.43873129472918E-7</c:v>
                </c:pt>
                <c:pt idx="8">
                  <c:v>7.8974542686300079E-4</c:v>
                </c:pt>
                <c:pt idx="9">
                  <c:v>1.8634383025700607E-8</c:v>
                </c:pt>
                <c:pt idx="10" formatCode="_(* #,##0.00_);_(* \(#,##0.00\);_(* &quot;-&quot;??_);_(@_)">
                  <c:v>5.8924186879853414E-3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B49-4FE6-ACD2-ED6189A6DC89}"/>
            </c:ext>
          </c:extLst>
        </c:ser>
        <c:ser>
          <c:idx val="3"/>
          <c:order val="2"/>
          <c:tx>
            <c:strRef>
              <c:f>LifeCycleAssessment!$F$78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LifeCycleAssessment!$I$78:$S$78</c:f>
              <c:numCache>
                <c:formatCode>0.00E+00</c:formatCode>
                <c:ptCount val="11"/>
                <c:pt idx="0">
                  <c:v>1.0766980277774424E-5</c:v>
                </c:pt>
                <c:pt idx="1">
                  <c:v>2.5369962865019496E-2</c:v>
                </c:pt>
                <c:pt idx="2">
                  <c:v>1.1883522057364198E-7</c:v>
                </c:pt>
                <c:pt idx="3">
                  <c:v>1.5011893191885489E-2</c:v>
                </c:pt>
                <c:pt idx="4">
                  <c:v>2.1366267931682359E-11</c:v>
                </c:pt>
                <c:pt idx="5">
                  <c:v>1.6971137078937241E-9</c:v>
                </c:pt>
                <c:pt idx="6">
                  <c:v>3.7003759805224744E-9</c:v>
                </c:pt>
                <c:pt idx="7">
                  <c:v>2.6077749991163651E-4</c:v>
                </c:pt>
                <c:pt idx="8">
                  <c:v>0.23058849607187898</c:v>
                </c:pt>
                <c:pt idx="9">
                  <c:v>2.4751678799481429E-6</c:v>
                </c:pt>
                <c:pt idx="10" formatCode="_(* #,##0.00_);_(* \(#,##0.00\);_(* &quot;-&quot;??_);_(@_)">
                  <c:v>0.17558840940352127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B49-4FE6-ACD2-ED6189A6DC89}"/>
            </c:ext>
          </c:extLst>
        </c:ser>
        <c:ser>
          <c:idx val="7"/>
          <c:order val="4"/>
          <c:tx>
            <c:strRef>
              <c:f>LifeCycleAssessment!$F$80</c:f>
              <c:strCache>
                <c:ptCount val="1"/>
                <c:pt idx="0">
                  <c:v>Electricity</c:v>
                </c:pt>
              </c:strCache>
            </c:strRef>
          </c:tx>
          <c:spPr>
            <a:pattFill prst="solidDmnd">
              <a:fgClr>
                <a:srgbClr val="5B9BD5">
                  <a:lumMod val="60000"/>
                  <a:lumOff val="40000"/>
                </a:srgbClr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LifeCycleAssessment!$I$80:$S$80</c:f>
              <c:numCache>
                <c:formatCode>0.00E+00</c:formatCode>
                <c:ptCount val="11"/>
                <c:pt idx="0">
                  <c:v>2.655823916212321E-5</c:v>
                </c:pt>
                <c:pt idx="1">
                  <c:v>1.823803193530911E-2</c:v>
                </c:pt>
                <c:pt idx="2">
                  <c:v>2.3240240656902986E-5</c:v>
                </c:pt>
                <c:pt idx="3">
                  <c:v>4.0608905992778272E-3</c:v>
                </c:pt>
                <c:pt idx="4">
                  <c:v>2.9120432524034205E-10</c:v>
                </c:pt>
                <c:pt idx="5">
                  <c:v>8.0969988439462106E-10</c:v>
                </c:pt>
                <c:pt idx="6">
                  <c:v>2.1123663860618592E-10</c:v>
                </c:pt>
                <c:pt idx="7">
                  <c:v>2.521904637349394E-4</c:v>
                </c:pt>
                <c:pt idx="8">
                  <c:v>2.8017160350808042E-3</c:v>
                </c:pt>
                <c:pt idx="9">
                  <c:v>6.8850085430298803E-6</c:v>
                </c:pt>
                <c:pt idx="10" formatCode="_(* #,##0.00_);_(* \(#,##0.00\);_(* &quot;-&quot;??_);_(@_)">
                  <c:v>2.2437553766555009E-2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49-4FE6-ACD2-ED6189A6DC89}"/>
            </c:ext>
          </c:extLst>
        </c:ser>
        <c:ser>
          <c:idx val="8"/>
          <c:order val="5"/>
          <c:tx>
            <c:strRef>
              <c:f>LifeCycleAssessment!$F$81</c:f>
              <c:strCache>
                <c:ptCount val="1"/>
                <c:pt idx="0">
                  <c:v>GHGs to air</c:v>
                </c:pt>
              </c:strCache>
            </c:strRef>
          </c:tx>
          <c:spPr>
            <a:pattFill prst="pct75">
              <a:fgClr>
                <a:srgbClr val="5B9BD5"/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LifeCycleAssessment!$I$81:$R$81</c:f>
              <c:numCache>
                <c:formatCode>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1.4871246720429172E-2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49-4FE6-ACD2-ED6189A6DC89}"/>
            </c:ext>
          </c:extLst>
        </c:ser>
        <c:ser>
          <c:idx val="0"/>
          <c:order val="6"/>
          <c:tx>
            <c:strRef>
              <c:f>LifeCycleAssessment!$F$82</c:f>
              <c:strCache>
                <c:ptCount val="1"/>
                <c:pt idx="0">
                  <c:v>Nutrients to water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LifeCycleAssessment!$I$82:$R$82</c:f>
              <c:numCache>
                <c:formatCode>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3.3923893129846061E-3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5-4ED4-BE2A-6665379CA737}"/>
            </c:ext>
          </c:extLst>
        </c:ser>
        <c:ser>
          <c:idx val="6"/>
          <c:order val="7"/>
          <c:tx>
            <c:strRef>
              <c:f>LifeCycleAssessment!$F$83</c:f>
              <c:strCache>
                <c:ptCount val="1"/>
                <c:pt idx="0">
                  <c:v>Nutrient credit</c:v>
                </c:pt>
              </c:strCache>
            </c:strRef>
          </c:tx>
          <c:spPr>
            <a:pattFill prst="lgCheck">
              <a:fgClr>
                <a:srgbClr val="5B9BD5"/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LifeCycleAssessment!$I$83:$R$83</c:f>
              <c:numCache>
                <c:formatCode>0.00E+00</c:formatCode>
                <c:ptCount val="10"/>
                <c:pt idx="0">
                  <c:v>-4.0709644923847005E-5</c:v>
                </c:pt>
                <c:pt idx="1">
                  <c:v>-3.8425705204993416E-2</c:v>
                </c:pt>
                <c:pt idx="2">
                  <c:v>-2.5954393901149517E-5</c:v>
                </c:pt>
                <c:pt idx="3">
                  <c:v>-7.707049885484399E-3</c:v>
                </c:pt>
                <c:pt idx="4">
                  <c:v>-2.3144235557266893E-10</c:v>
                </c:pt>
                <c:pt idx="5">
                  <c:v>-1.9458796845270997E-9</c:v>
                </c:pt>
                <c:pt idx="6">
                  <c:v>-1.3908936580574773E-9</c:v>
                </c:pt>
                <c:pt idx="7">
                  <c:v>-3.1269864280916981E-4</c:v>
                </c:pt>
                <c:pt idx="8">
                  <c:v>-1.9491662377997088E-2</c:v>
                </c:pt>
                <c:pt idx="9">
                  <c:v>-6.0173984861191631E-6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0B49-4FE6-ACD2-ED6189A6DC89}"/>
            </c:ext>
          </c:extLst>
        </c:ser>
        <c:ser>
          <c:idx val="1"/>
          <c:order val="8"/>
          <c:tx>
            <c:v>Fuel transport &amp; distribution</c:v>
          </c:tx>
          <c:spPr>
            <a:pattFill prst="wdUpDiag">
              <a:fgClr>
                <a:srgbClr val="C00000"/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val>
            <c:numRef>
              <c:f>LifeCycleAssessment!$I$84:$S$84</c:f>
              <c:numCache>
                <c:formatCode>0.00E+00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7.4088373282872773E-3</c:v>
                </c:pt>
                <c:pt idx="9">
                  <c:v>0</c:v>
                </c:pt>
                <c:pt idx="10" formatCode="0.00">
                  <c:v>7.4088373282872773E-3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5-4ED4-BE2A-6665379CA737}"/>
            </c:ext>
          </c:extLst>
        </c:ser>
        <c:ser>
          <c:idx val="9"/>
          <c:order val="9"/>
          <c:tx>
            <c:strRef>
              <c:f>LifeCycleAssessment!$F$85</c:f>
              <c:strCache>
                <c:ptCount val="1"/>
                <c:pt idx="0">
                  <c:v>End use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LifeCycleAssessment!$I$85:$R$85</c:f>
              <c:numCache>
                <c:formatCode>0.00E+00</c:formatCode>
                <c:ptCount val="10"/>
                <c:pt idx="0">
                  <c:v>2.4842010746425882E-5</c:v>
                </c:pt>
                <c:pt idx="1">
                  <c:v>0</c:v>
                </c:pt>
                <c:pt idx="2">
                  <c:v>1.5391222741973158E-6</c:v>
                </c:pt>
                <c:pt idx="3">
                  <c:v>7.5743998714053851E-2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1.0195463401605773E-3</c:v>
                </c:pt>
                <c:pt idx="8">
                  <c:v>0</c:v>
                </c:pt>
                <c:pt idx="9">
                  <c:v>4.4968027848137342E-6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49-4FE6-ACD2-ED6189A6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307776"/>
        <c:axId val="51130581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LifeCycleAssessment!$F$79</c15:sqref>
                        </c15:formulaRef>
                      </c:ext>
                    </c:extLst>
                    <c:strCache>
                      <c:ptCount val="1"/>
                      <c:pt idx="0">
                        <c:v>Other materials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LifeCycleAssessment!$I$74:$S$74</c15:sqref>
                        </c15:formulaRef>
                      </c:ext>
                    </c:extLst>
                    <c:strCache>
                      <c:ptCount val="11"/>
                      <c:pt idx="0">
                        <c:v>Acidification</c:v>
                      </c:pt>
                      <c:pt idx="1">
                        <c:v>Ecotoxicity</c:v>
                      </c:pt>
                      <c:pt idx="2">
                        <c:v>Eutrophication</c:v>
                      </c:pt>
                      <c:pt idx="3">
                        <c:v>GWP</c:v>
                      </c:pt>
                      <c:pt idx="4">
                        <c:v>Human health (carcinogenic)</c:v>
                      </c:pt>
                      <c:pt idx="5">
                        <c:v>Human health (non-carcinogenic)</c:v>
                      </c:pt>
                      <c:pt idx="6">
                        <c:v>Ozone depletion</c:v>
                      </c:pt>
                      <c:pt idx="7">
                        <c:v>Photochemical ozone formation</c:v>
                      </c:pt>
                      <c:pt idx="8">
                        <c:v>Fossil fuel depletion</c:v>
                      </c:pt>
                      <c:pt idx="9">
                        <c:v>Respiratory effects</c:v>
                      </c:pt>
                      <c:pt idx="10">
                        <c:v>NER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LifeCycleAssessment!$I$79:$R$79</c15:sqref>
                        </c15:formulaRef>
                      </c:ext>
                    </c:extLst>
                    <c:numCache>
                      <c:formatCode>0.00E+00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0B49-4FE6-ACD2-ED6189A6DC89}"/>
                  </c:ext>
                </c:extLst>
              </c15:ser>
            </c15:filteredBarSeries>
          </c:ext>
        </c:extLst>
      </c:barChart>
      <c:catAx>
        <c:axId val="51130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Impact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5816"/>
        <c:crosses val="autoZero"/>
        <c:auto val="1"/>
        <c:lblAlgn val="ctr"/>
        <c:lblOffset val="100"/>
        <c:noMultiLvlLbl val="0"/>
      </c:catAx>
      <c:valAx>
        <c:axId val="511305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Impact contribution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(Summary!$D$4,Summary!$F$4,Summary!$H$4)</c:f>
              <c:numCache>
                <c:formatCode>_("$"* #,##0.00_);_("$"* \(#,##0.00\);_("$"* "-"??_);_(@_)</c:formatCode>
                <c:ptCount val="3"/>
                <c:pt idx="0">
                  <c:v>1.750566507151973E-3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B-4572-80A0-FC66244E9E50}"/>
            </c:ext>
          </c:extLst>
        </c:ser>
        <c:ser>
          <c:idx val="1"/>
          <c:order val="1"/>
          <c:tx>
            <c:strRef>
              <c:f>Summary!$B$5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(Summary!$D$5,Summary!$F$5,Summary!$H$5)</c:f>
              <c:numCache>
                <c:formatCode>_("$"* #,##0.00_);_("$"* \(#,##0.00\);_("$"* "-"??_);_(@_)</c:formatCode>
                <c:ptCount val="3"/>
                <c:pt idx="0">
                  <c:v>0.13114563986394465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7B-4572-80A0-FC66244E9E50}"/>
            </c:ext>
          </c:extLst>
        </c:ser>
        <c:ser>
          <c:idx val="2"/>
          <c:order val="2"/>
          <c:tx>
            <c:strRef>
              <c:f>Summary!$B$6</c:f>
              <c:strCache>
                <c:ptCount val="1"/>
                <c:pt idx="0">
                  <c:v>Process water</c:v>
                </c:pt>
              </c:strCache>
            </c:strRef>
          </c:tx>
          <c:spPr>
            <a:pattFill prst="zigZ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(Summary!$D$6,Summary!$F$6,Summary!$H$6)</c:f>
              <c:numCache>
                <c:formatCode>_("$"* #,##0.00_);_("$"* \(#,##0.00\);_("$"* "-"??_);_(@_)</c:formatCode>
                <c:ptCount val="3"/>
                <c:pt idx="0">
                  <c:v>4.7541887446930656E-4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7B-4572-80A0-FC66244E9E50}"/>
            </c:ext>
          </c:extLst>
        </c:ser>
        <c:ser>
          <c:idx val="3"/>
          <c:order val="3"/>
          <c:tx>
            <c:strRef>
              <c:f>Summary!$B$7</c:f>
              <c:strCache>
                <c:ptCount val="1"/>
                <c:pt idx="0">
                  <c:v>Recycle credits</c:v>
                </c:pt>
              </c:strCache>
            </c:strRef>
          </c:tx>
          <c:spPr>
            <a:pattFill prst="lgCheck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(Summary!$D$7,Summary!$F$7,Summary!$H$7)</c:f>
              <c:numCache>
                <c:formatCode>_("$"* #,##0.00_);_("$"* \(#,##0.00\);_("$"* "-"??_);_(@_)</c:formatCode>
                <c:ptCount val="3"/>
                <c:pt idx="0">
                  <c:v>-0.23241945015565818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7B-4572-80A0-FC66244E9E50}"/>
            </c:ext>
          </c:extLst>
        </c:ser>
        <c:ser>
          <c:idx val="4"/>
          <c:order val="4"/>
          <c:tx>
            <c:strRef>
              <c:f>Summary!$B$8</c:f>
              <c:strCache>
                <c:ptCount val="1"/>
                <c:pt idx="0">
                  <c:v>Electricity</c:v>
                </c:pt>
              </c:strCache>
            </c:strRef>
          </c:tx>
          <c:spPr>
            <a:pattFill prst="solidDmnd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(Summary!$D$8,Summary!$F$8,Summary!$H$8)</c:f>
              <c:numCache>
                <c:formatCode>_("$"* #,##0.00_);_("$"* \(#,##0.00\);_("$"* "-"??_);_(@_)</c:formatCode>
                <c:ptCount val="3"/>
                <c:pt idx="0">
                  <c:v>1.6178527267777288E-2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7B-4572-80A0-FC66244E9E50}"/>
            </c:ext>
          </c:extLst>
        </c:ser>
        <c:ser>
          <c:idx val="5"/>
          <c:order val="5"/>
          <c:tx>
            <c:strRef>
              <c:f>Summary!$B$9</c:f>
              <c:strCache>
                <c:ptCount val="1"/>
                <c:pt idx="0">
                  <c:v>Fixed operating costs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(Summary!$D$9,Summary!$F$9,Summary!$H$9)</c:f>
              <c:numCache>
                <c:formatCode>_("$"* #,##0.00_);_("$"* \(#,##0.00\);_("$"* "-"??_);_(@_)</c:formatCode>
                <c:ptCount val="3"/>
                <c:pt idx="0">
                  <c:v>0.24202794585968279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7B-4572-80A0-FC66244E9E50}"/>
            </c:ext>
          </c:extLst>
        </c:ser>
        <c:ser>
          <c:idx val="6"/>
          <c:order val="6"/>
          <c:tx>
            <c:strRef>
              <c:f>Summary!$B$10</c:f>
              <c:strCache>
                <c:ptCount val="1"/>
                <c:pt idx="0">
                  <c:v>Income tax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(Summary!$D$10,Summary!$F$10,Summary!$H$10)</c:f>
              <c:numCache>
                <c:formatCode>_("$"* #,##0.00_);_("$"* \(#,##0.00\);_("$"* "-"??_);_(@_)</c:formatCode>
                <c:ptCount val="3"/>
                <c:pt idx="0">
                  <c:v>3.8940124373888177E-2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7B-4572-80A0-FC66244E9E50}"/>
            </c:ext>
          </c:extLst>
        </c:ser>
        <c:ser>
          <c:idx val="8"/>
          <c:order val="8"/>
          <c:tx>
            <c:strRef>
              <c:f>Summary!$B$12</c:f>
              <c:strCache>
                <c:ptCount val="1"/>
                <c:pt idx="0">
                  <c:v>HTL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(Summary!$D$12,Summary!$F$12,Summary!$H$12)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0.12925292176991302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7B-4572-80A0-FC66244E9E50}"/>
            </c:ext>
          </c:extLst>
        </c:ser>
        <c:ser>
          <c:idx val="9"/>
          <c:order val="9"/>
          <c:tx>
            <c:strRef>
              <c:f>Summary!$B$13</c:f>
              <c:strCache>
                <c:ptCount val="1"/>
                <c:pt idx="0">
                  <c:v>Upgrading</c:v>
                </c:pt>
              </c:strCache>
            </c:strRef>
          </c:tx>
          <c:spPr>
            <a:pattFill prst="horzBrick">
              <a:fgClr>
                <a:schemeClr val="accent6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(Summary!$D$13,Summary!$F$13,Summary!$H$13)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7.3599137025626787E-2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7B-4572-80A0-FC66244E9E50}"/>
            </c:ext>
          </c:extLst>
        </c:ser>
        <c:ser>
          <c:idx val="10"/>
          <c:order val="10"/>
          <c:tx>
            <c:strRef>
              <c:f>Summary!$B$14</c:f>
              <c:strCache>
                <c:ptCount val="1"/>
                <c:pt idx="0">
                  <c:v>Heating utility</c:v>
                </c:pt>
              </c:strCache>
            </c:strRef>
          </c:tx>
          <c:spPr>
            <a:pattFill prst="wdUpDiag">
              <a:fgClr>
                <a:srgbClr val="00B05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(Summary!$D$14,Summary!$F$14,Summary!$H$14)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1.5437256169541213E-2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7B-4572-80A0-FC66244E9E50}"/>
            </c:ext>
          </c:extLst>
        </c:ser>
        <c:ser>
          <c:idx val="11"/>
          <c:order val="11"/>
          <c:tx>
            <c:strRef>
              <c:f>Summary!$B$15</c:f>
              <c:strCache>
                <c:ptCount val="1"/>
                <c:pt idx="0">
                  <c:v>Other utilities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(Summary!$D$15,Summary!$F$15,Summary!$H$15)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9.9416360773769731E-3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7B-4572-80A0-FC66244E9E50}"/>
            </c:ext>
          </c:extLst>
        </c:ser>
        <c:ser>
          <c:idx val="12"/>
          <c:order val="12"/>
          <c:tx>
            <c:strRef>
              <c:f>Summary!$B$16</c:f>
              <c:strCache>
                <c:ptCount val="1"/>
                <c:pt idx="0">
                  <c:v>Total MFSP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(Summary!$D$16,Summary!$F$16,Summary!$H$16)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0.42632972363371396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7B-4572-80A0-FC66244E9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308952"/>
        <c:axId val="511306208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Summary!$B$11</c15:sqref>
                        </c15:formulaRef>
                      </c:ext>
                    </c:extLst>
                    <c:strCache>
                      <c:ptCount val="1"/>
                      <c:pt idx="0">
                        <c:v>Capital recovery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Summary!$F$59:$H$59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(Summary!$D$11,Summary!$F$11,Summary!$H$11)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3"/>
                      <c:pt idx="0">
                        <c:v>0</c:v>
                      </c:pt>
                      <c:pt idx="1">
                        <c:v>0.228230951042458</c:v>
                      </c:pt>
                      <c:pt idx="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B77B-4572-80A0-FC66244E9E50}"/>
                  </c:ext>
                </c:extLst>
              </c15:ser>
            </c15:filteredBarSeries>
          </c:ext>
        </c:extLst>
      </c:barChart>
      <c:catAx>
        <c:axId val="51130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/>
                  <a:t>Cost contributor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6208"/>
        <c:crosses val="autoZero"/>
        <c:auto val="1"/>
        <c:lblAlgn val="ctr"/>
        <c:lblOffset val="100"/>
        <c:noMultiLvlLbl val="0"/>
      </c:catAx>
      <c:valAx>
        <c:axId val="511306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/>
                  <a:t>MFSP contribution [2019$ LGE</a:t>
                </a:r>
                <a:r>
                  <a:rPr lang="en-US" sz="2000" baseline="30000"/>
                  <a:t>-1</a:t>
                </a:r>
                <a:r>
                  <a:rPr lang="en-US" sz="2000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8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1</xdr:col>
          <xdr:colOff>1257300</xdr:colOff>
          <xdr:row>16</xdr:row>
          <xdr:rowOff>190500</xdr:rowOff>
        </xdr:to>
        <xdr:sp macro="" textlink="">
          <xdr:nvSpPr>
            <xdr:cNvPr id="15362" name="UpdateFileName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1885950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9525</xdr:rowOff>
        </xdr:from>
        <xdr:to>
          <xdr:col>0</xdr:col>
          <xdr:colOff>1885950</xdr:colOff>
          <xdr:row>1</xdr:row>
          <xdr:rowOff>295275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19050</xdr:rowOff>
        </xdr:from>
        <xdr:to>
          <xdr:col>4</xdr:col>
          <xdr:colOff>1714500</xdr:colOff>
          <xdr:row>34</xdr:row>
          <xdr:rowOff>123825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MFSP for given feedstock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19</xdr:row>
          <xdr:rowOff>19050</xdr:rowOff>
        </xdr:from>
        <xdr:to>
          <xdr:col>4</xdr:col>
          <xdr:colOff>1704975</xdr:colOff>
          <xdr:row>22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feedstock price for MFSP 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88</xdr:row>
      <xdr:rowOff>0</xdr:rowOff>
    </xdr:from>
    <xdr:to>
      <xdr:col>16</xdr:col>
      <xdr:colOff>1193006</xdr:colOff>
      <xdr:row>127</xdr:row>
      <xdr:rowOff>115129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14286</xdr:colOff>
      <xdr:row>17</xdr:row>
      <xdr:rowOff>14286</xdr:rowOff>
    </xdr:from>
    <xdr:to>
      <xdr:col>8</xdr:col>
      <xdr:colOff>0</xdr:colOff>
      <xdr:row>57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hen.ENS13025/Documents/HTL%20pinch%20simulations/Heat%20integration%20MATLAB/Scenario%20analysis/Updated%20scenario%20analysis%202020-08-04/HTL%20Case%20B%20full%20LCA%20fixed%20PSRK35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-up"/>
      <sheetName val="AspenData"/>
      <sheetName val="INDICES"/>
      <sheetName val="DCFROR"/>
      <sheetName val="OPEX"/>
      <sheetName val="CAPEX"/>
      <sheetName val="HTL-AREA"/>
      <sheetName val="AD-SIZE"/>
      <sheetName val="CATALYST"/>
      <sheetName val="CATALYST (2)"/>
      <sheetName val="LCI"/>
      <sheetName val="Summary"/>
    </sheetNames>
    <sheetDataSet>
      <sheetData sheetId="0">
        <row r="27">
          <cell r="S27" t="str">
            <v>INDICES!B15:E45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Nick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DBE5F1"/>
    </a:accent4>
    <a:accent5>
      <a:srgbClr val="F2DCDB"/>
    </a:accent5>
    <a:accent6>
      <a:srgbClr val="EBF1DD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ia.gov/electricity/wholesale/" TargetMode="External"/><Relationship Id="rId2" Type="http://schemas.openxmlformats.org/officeDocument/2006/relationships/hyperlink" Target="http://data.bls.gov/cgi-bin/srgate" TargetMode="External"/><Relationship Id="rId1" Type="http://schemas.openxmlformats.org/officeDocument/2006/relationships/hyperlink" Target="https://fred.stlouisfed.org/series/WPU0613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chemengonline.com/2019-chemical-engineering-plant-cost-index-annual-averag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2">
    <tabColor theme="0" tint="-0.14999847407452621"/>
  </sheetPr>
  <dimension ref="A1:N42"/>
  <sheetViews>
    <sheetView tabSelected="1" workbookViewId="0">
      <selection sqref="A1:C1"/>
    </sheetView>
  </sheetViews>
  <sheetFormatPr defaultRowHeight="15" x14ac:dyDescent="0.25"/>
  <cols>
    <col min="1" max="1" width="24" bestFit="1" customWidth="1"/>
    <col min="2" max="2" width="24.140625" bestFit="1" customWidth="1"/>
    <col min="3" max="3" width="114.42578125" bestFit="1" customWidth="1"/>
    <col min="4" max="4" width="28.5703125" bestFit="1" customWidth="1"/>
    <col min="5" max="5" width="9.7109375" style="302" customWidth="1"/>
    <col min="6" max="6" width="9.140625" customWidth="1"/>
    <col min="7" max="7" width="17.140625" bestFit="1" customWidth="1"/>
    <col min="8" max="8" width="25.7109375" bestFit="1" customWidth="1"/>
    <col min="9" max="9" width="12.7109375" bestFit="1" customWidth="1"/>
    <col min="10" max="10" width="9.7109375" bestFit="1" customWidth="1"/>
    <col min="11" max="11" width="11.7109375" bestFit="1" customWidth="1"/>
    <col min="12" max="12" width="8.7109375" bestFit="1" customWidth="1"/>
    <col min="13" max="13" width="19.28515625" bestFit="1" customWidth="1"/>
    <col min="14" max="14" width="15.7109375" bestFit="1" customWidth="1"/>
  </cols>
  <sheetData>
    <row r="1" spans="1:14" ht="21.75" thickBot="1" x14ac:dyDescent="0.4">
      <c r="A1" s="572" t="s">
        <v>0</v>
      </c>
      <c r="B1" s="573"/>
      <c r="C1" s="574"/>
      <c r="D1" s="1"/>
      <c r="E1" s="2"/>
      <c r="H1" s="12"/>
    </row>
    <row r="2" spans="1:14" ht="21.75" thickBot="1" x14ac:dyDescent="0.4">
      <c r="A2" s="569" t="s">
        <v>1</v>
      </c>
      <c r="B2" s="570"/>
      <c r="C2" s="571"/>
      <c r="D2" s="2"/>
      <c r="E2" s="2"/>
      <c r="G2" s="288" t="s">
        <v>36</v>
      </c>
      <c r="H2" s="289" t="s">
        <v>596</v>
      </c>
    </row>
    <row r="3" spans="1:14" ht="21.75" thickBot="1" x14ac:dyDescent="0.4">
      <c r="A3" s="569" t="s">
        <v>527</v>
      </c>
      <c r="B3" s="570"/>
      <c r="C3" s="571"/>
      <c r="D3" s="2"/>
      <c r="E3" s="2"/>
      <c r="F3" s="3"/>
      <c r="G3" s="290" t="s">
        <v>37</v>
      </c>
      <c r="H3" s="291" t="s">
        <v>38</v>
      </c>
      <c r="I3" s="291" t="s">
        <v>39</v>
      </c>
      <c r="J3" s="291" t="s">
        <v>40</v>
      </c>
      <c r="K3" s="291" t="s">
        <v>41</v>
      </c>
      <c r="L3" s="291" t="s">
        <v>42</v>
      </c>
      <c r="M3" s="291" t="s">
        <v>47</v>
      </c>
      <c r="N3" s="292" t="s">
        <v>595</v>
      </c>
    </row>
    <row r="4" spans="1:14" ht="21" x14ac:dyDescent="0.35">
      <c r="A4" s="578" t="s">
        <v>522</v>
      </c>
      <c r="B4" s="579"/>
      <c r="C4" s="580"/>
      <c r="D4" s="2"/>
      <c r="E4" s="2"/>
      <c r="F4" s="3"/>
      <c r="G4" s="90" t="s">
        <v>43</v>
      </c>
      <c r="H4" s="91" t="s">
        <v>46</v>
      </c>
      <c r="I4" s="91" t="s">
        <v>48</v>
      </c>
      <c r="J4" s="91">
        <v>3</v>
      </c>
      <c r="K4" s="91" t="s">
        <v>27</v>
      </c>
      <c r="L4" s="91">
        <v>32</v>
      </c>
      <c r="M4" s="91" t="str">
        <f>H4&amp;"!"&amp;I4&amp;J4&amp;":"&amp;K4&amp;L4</f>
        <v>CostIndex!B3:C32</v>
      </c>
      <c r="N4" s="92" t="s">
        <v>50</v>
      </c>
    </row>
    <row r="5" spans="1:14" ht="21.75" thickBot="1" x14ac:dyDescent="0.4">
      <c r="A5" s="575" t="s">
        <v>155</v>
      </c>
      <c r="B5" s="576"/>
      <c r="C5" s="577"/>
      <c r="D5" s="2"/>
      <c r="E5" s="2"/>
      <c r="F5" s="3"/>
      <c r="G5" s="85" t="s">
        <v>44</v>
      </c>
      <c r="H5" s="84" t="s">
        <v>46</v>
      </c>
      <c r="I5" s="84" t="s">
        <v>259</v>
      </c>
      <c r="J5" s="84">
        <v>3</v>
      </c>
      <c r="K5" s="84" t="s">
        <v>260</v>
      </c>
      <c r="L5" s="84">
        <v>42</v>
      </c>
      <c r="M5" s="84" t="str">
        <f t="shared" ref="M5:M7" si="0">H5&amp;"!"&amp;I5&amp;J5&amp;":"&amp;K5&amp;L5</f>
        <v>CostIndex!F3:G42</v>
      </c>
      <c r="N5" s="86" t="s">
        <v>51</v>
      </c>
    </row>
    <row r="6" spans="1:14" ht="15.75" thickBot="1" x14ac:dyDescent="0.3">
      <c r="A6" s="293" t="s">
        <v>6</v>
      </c>
      <c r="B6" s="294" t="s">
        <v>7</v>
      </c>
      <c r="C6" s="295"/>
      <c r="D6" s="3"/>
      <c r="E6" s="3"/>
      <c r="G6" s="85" t="s">
        <v>45</v>
      </c>
      <c r="H6" s="84" t="s">
        <v>46</v>
      </c>
      <c r="I6" s="84" t="s">
        <v>261</v>
      </c>
      <c r="J6" s="84">
        <v>3</v>
      </c>
      <c r="K6" s="84" t="s">
        <v>262</v>
      </c>
      <c r="L6" s="84">
        <v>32</v>
      </c>
      <c r="M6" s="84" t="str">
        <f t="shared" si="0"/>
        <v>CostIndex!J3:K32</v>
      </c>
      <c r="N6" s="86" t="s">
        <v>53</v>
      </c>
    </row>
    <row r="7" spans="1:14" ht="15.75" thickBot="1" x14ac:dyDescent="0.3">
      <c r="A7" s="581" t="s">
        <v>531</v>
      </c>
      <c r="B7" s="296" t="s">
        <v>2</v>
      </c>
      <c r="C7" s="297" t="s">
        <v>4</v>
      </c>
      <c r="G7" s="87" t="s">
        <v>594</v>
      </c>
      <c r="H7" s="88" t="s">
        <v>46</v>
      </c>
      <c r="I7" s="88" t="s">
        <v>263</v>
      </c>
      <c r="J7" s="88">
        <v>3</v>
      </c>
      <c r="K7" s="88" t="s">
        <v>49</v>
      </c>
      <c r="L7" s="88">
        <v>8</v>
      </c>
      <c r="M7" s="88" t="str">
        <f t="shared" si="0"/>
        <v>CostIndex!N3:O8</v>
      </c>
      <c r="N7" s="89" t="s">
        <v>52</v>
      </c>
    </row>
    <row r="8" spans="1:14" ht="15.75" thickBot="1" x14ac:dyDescent="0.3">
      <c r="A8" s="582"/>
      <c r="B8" s="298" t="s">
        <v>3</v>
      </c>
      <c r="C8" s="299" t="s">
        <v>5</v>
      </c>
    </row>
    <row r="9" spans="1:14" s="308" customFormat="1" ht="15.75" thickBot="1" x14ac:dyDescent="0.3">
      <c r="A9" s="293" t="s">
        <v>532</v>
      </c>
      <c r="B9" s="294" t="s">
        <v>533</v>
      </c>
      <c r="C9" s="295" t="s">
        <v>534</v>
      </c>
    </row>
    <row r="10" spans="1:14" s="308" customFormat="1" ht="15.75" thickBot="1" x14ac:dyDescent="0.3">
      <c r="A10" s="307" t="s">
        <v>536</v>
      </c>
      <c r="B10" s="298"/>
      <c r="C10" s="299" t="s">
        <v>535</v>
      </c>
    </row>
    <row r="11" spans="1:14" s="308" customFormat="1" x14ac:dyDescent="0.25">
      <c r="A11" s="586" t="s">
        <v>537</v>
      </c>
      <c r="B11" s="587"/>
      <c r="C11" s="588"/>
    </row>
    <row r="12" spans="1:14" s="308" customFormat="1" ht="15.75" thickBot="1" x14ac:dyDescent="0.3">
      <c r="A12" s="589" t="s">
        <v>538</v>
      </c>
      <c r="B12" s="590"/>
      <c r="C12" s="591"/>
    </row>
    <row r="13" spans="1:14" ht="30.75" customHeight="1" thickBot="1" x14ac:dyDescent="0.3">
      <c r="A13" s="583" t="s">
        <v>264</v>
      </c>
      <c r="B13" s="584"/>
      <c r="C13" s="585"/>
    </row>
    <row r="14" spans="1:14" ht="15.75" thickBot="1" x14ac:dyDescent="0.3">
      <c r="G14" s="567" t="s">
        <v>154</v>
      </c>
      <c r="H14" s="568"/>
    </row>
    <row r="15" spans="1:14" ht="15.75" thickBot="1" x14ac:dyDescent="0.3">
      <c r="C15" s="265" t="s">
        <v>528</v>
      </c>
      <c r="D15" s="311" t="s">
        <v>156</v>
      </c>
      <c r="E15" s="266" t="s">
        <v>157</v>
      </c>
      <c r="G15" s="290" t="s">
        <v>8</v>
      </c>
      <c r="H15" s="266" t="s">
        <v>9</v>
      </c>
    </row>
    <row r="16" spans="1:14" x14ac:dyDescent="0.25">
      <c r="A16" s="309"/>
      <c r="B16" s="310"/>
      <c r="C16" s="79" t="s">
        <v>791</v>
      </c>
      <c r="D16" s="80"/>
      <c r="E16" s="5"/>
      <c r="G16" s="9" t="s">
        <v>10</v>
      </c>
      <c r="H16" s="5" t="s">
        <v>23</v>
      </c>
    </row>
    <row r="17" spans="1:8" ht="15.75" thickBot="1" x14ac:dyDescent="0.3">
      <c r="C17" s="82" t="s">
        <v>793</v>
      </c>
      <c r="D17" s="83" t="s">
        <v>792</v>
      </c>
      <c r="E17" s="6" t="s">
        <v>530</v>
      </c>
      <c r="G17" s="10" t="s">
        <v>11</v>
      </c>
      <c r="H17" s="8" t="s">
        <v>24</v>
      </c>
    </row>
    <row r="18" spans="1:8" ht="15.75" thickBot="1" x14ac:dyDescent="0.3">
      <c r="G18" s="10" t="s">
        <v>12</v>
      </c>
      <c r="H18" s="8" t="s">
        <v>25</v>
      </c>
    </row>
    <row r="19" spans="1:8" x14ac:dyDescent="0.25">
      <c r="A19" s="304" t="s">
        <v>614</v>
      </c>
      <c r="B19" s="303"/>
      <c r="G19" s="10" t="s">
        <v>13</v>
      </c>
      <c r="H19" s="8" t="s">
        <v>26</v>
      </c>
    </row>
    <row r="20" spans="1:8" ht="15.75" thickBot="1" x14ac:dyDescent="0.3">
      <c r="A20" s="305">
        <v>44125</v>
      </c>
      <c r="B20" s="306">
        <v>0.95866898148148139</v>
      </c>
      <c r="G20" s="10" t="s">
        <v>14</v>
      </c>
      <c r="H20" s="8" t="s">
        <v>27</v>
      </c>
    </row>
    <row r="21" spans="1:8" ht="15.75" thickBot="1" x14ac:dyDescent="0.3">
      <c r="G21" s="10" t="s">
        <v>15</v>
      </c>
      <c r="H21" s="8" t="s">
        <v>28</v>
      </c>
    </row>
    <row r="22" spans="1:8" ht="15.75" thickBot="1" x14ac:dyDescent="0.3">
      <c r="A22" s="492" t="s">
        <v>708</v>
      </c>
      <c r="G22" s="10" t="s">
        <v>17</v>
      </c>
      <c r="H22" s="8" t="s">
        <v>30</v>
      </c>
    </row>
    <row r="23" spans="1:8" x14ac:dyDescent="0.25">
      <c r="A23" s="491" t="s">
        <v>265</v>
      </c>
      <c r="G23" s="10" t="s">
        <v>16</v>
      </c>
      <c r="H23" s="8" t="s">
        <v>29</v>
      </c>
    </row>
    <row r="24" spans="1:8" x14ac:dyDescent="0.25">
      <c r="A24" s="489" t="s">
        <v>266</v>
      </c>
      <c r="G24" s="10" t="s">
        <v>18</v>
      </c>
      <c r="H24" s="8" t="s">
        <v>32</v>
      </c>
    </row>
    <row r="25" spans="1:8" ht="15.75" thickBot="1" x14ac:dyDescent="0.3">
      <c r="A25" s="490" t="s">
        <v>638</v>
      </c>
      <c r="G25" s="10" t="s">
        <v>19</v>
      </c>
      <c r="H25" s="8" t="s">
        <v>31</v>
      </c>
    </row>
    <row r="26" spans="1:8" x14ac:dyDescent="0.25">
      <c r="G26" s="10" t="s">
        <v>20</v>
      </c>
      <c r="H26" s="8" t="s">
        <v>33</v>
      </c>
    </row>
    <row r="27" spans="1:8" x14ac:dyDescent="0.25">
      <c r="G27" s="10" t="s">
        <v>21</v>
      </c>
      <c r="H27" s="8" t="s">
        <v>34</v>
      </c>
    </row>
    <row r="28" spans="1:8" ht="15.75" thickBot="1" x14ac:dyDescent="0.3">
      <c r="G28" s="11" t="s">
        <v>22</v>
      </c>
      <c r="H28" s="6" t="s">
        <v>35</v>
      </c>
    </row>
    <row r="42" spans="3:3" x14ac:dyDescent="0.25">
      <c r="C42" s="76"/>
    </row>
  </sheetData>
  <mergeCells count="10">
    <mergeCell ref="G14:H14"/>
    <mergeCell ref="A3:C3"/>
    <mergeCell ref="A2:C2"/>
    <mergeCell ref="A1:C1"/>
    <mergeCell ref="A5:C5"/>
    <mergeCell ref="A4:C4"/>
    <mergeCell ref="A7:A8"/>
    <mergeCell ref="A13:C13"/>
    <mergeCell ref="A11:C11"/>
    <mergeCell ref="A12:C1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2" r:id="rId4" name="UpdateFileName">
          <controlPr locked="0" defaultSize="0" autoLine="0" r:id="rId5">
            <anchor moveWithCells="1">
              <from>
                <xdr:col>0</xdr:col>
                <xdr:colOff>9525</xdr:colOff>
                <xdr:row>14</xdr:row>
                <xdr:rowOff>9525</xdr:rowOff>
              </from>
              <to>
                <xdr:col>1</xdr:col>
                <xdr:colOff>1257300</xdr:colOff>
                <xdr:row>16</xdr:row>
                <xdr:rowOff>190500</xdr:rowOff>
              </to>
            </anchor>
          </controlPr>
        </control>
      </mc:Choice>
      <mc:Fallback>
        <control shapeId="15362" r:id="rId4" name="UpdateFile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3">
    <tabColor theme="0" tint="-0.14999847407452621"/>
  </sheetPr>
  <dimension ref="A1:K1199"/>
  <sheetViews>
    <sheetView workbookViewId="0">
      <selection activeCell="B1" sqref="B1"/>
    </sheetView>
  </sheetViews>
  <sheetFormatPr defaultRowHeight="15" x14ac:dyDescent="0.25"/>
  <cols>
    <col min="1" max="1" width="28.5703125" bestFit="1" customWidth="1"/>
    <col min="2" max="2" width="32.42578125" bestFit="1" customWidth="1"/>
    <col min="3" max="3" width="46.42578125" bestFit="1" customWidth="1"/>
    <col min="4" max="4" width="12.5703125" bestFit="1" customWidth="1"/>
    <col min="5" max="5" width="15.28515625" bestFit="1" customWidth="1"/>
  </cols>
  <sheetData>
    <row r="1" spans="1:5" s="93" customFormat="1" ht="24" customHeight="1" x14ac:dyDescent="0.25">
      <c r="B1" s="271" t="s">
        <v>526</v>
      </c>
      <c r="C1" s="271" t="s">
        <v>411</v>
      </c>
      <c r="D1" s="272" t="s">
        <v>412</v>
      </c>
      <c r="E1" s="273" t="s">
        <v>413</v>
      </c>
    </row>
    <row r="2" spans="1:5" ht="35.25" thickBot="1" x14ac:dyDescent="0.3">
      <c r="B2" s="105" t="s">
        <v>529</v>
      </c>
      <c r="C2" s="314" t="s">
        <v>791</v>
      </c>
      <c r="D2" s="312">
        <v>44315</v>
      </c>
      <c r="E2" s="313">
        <v>0.71491898148148147</v>
      </c>
    </row>
    <row r="3" spans="1:5" ht="15.75" thickBot="1" x14ac:dyDescent="0.3"/>
    <row r="4" spans="1:5" s="93" customFormat="1" ht="15.75" thickBot="1" x14ac:dyDescent="0.3">
      <c r="A4" s="267" t="s">
        <v>410</v>
      </c>
      <c r="B4" s="268" t="s">
        <v>588</v>
      </c>
      <c r="C4" s="267" t="s">
        <v>589</v>
      </c>
      <c r="D4" s="269" t="s">
        <v>197</v>
      </c>
      <c r="E4" s="270" t="s">
        <v>9</v>
      </c>
    </row>
    <row r="5" spans="1:5" x14ac:dyDescent="0.25">
      <c r="A5" s="274" t="s">
        <v>495</v>
      </c>
      <c r="B5" s="99" t="s">
        <v>158</v>
      </c>
      <c r="C5" s="81" t="s">
        <v>726</v>
      </c>
      <c r="D5" s="3">
        <v>1</v>
      </c>
      <c r="E5" s="8"/>
    </row>
    <row r="6" spans="1:5" x14ac:dyDescent="0.25">
      <c r="A6" s="274" t="s">
        <v>525</v>
      </c>
      <c r="B6" s="99" t="s">
        <v>159</v>
      </c>
      <c r="C6" s="81" t="s">
        <v>617</v>
      </c>
      <c r="D6" s="3">
        <v>581.070967</v>
      </c>
      <c r="E6" s="8"/>
    </row>
    <row r="7" spans="1:5" x14ac:dyDescent="0.25">
      <c r="A7" s="274" t="s">
        <v>496</v>
      </c>
      <c r="B7" s="99" t="s">
        <v>160</v>
      </c>
      <c r="C7" s="81" t="s">
        <v>618</v>
      </c>
      <c r="D7" s="104">
        <v>62.232700600000001</v>
      </c>
      <c r="E7" s="8"/>
    </row>
    <row r="8" spans="1:5" x14ac:dyDescent="0.25">
      <c r="A8" s="274" t="s">
        <v>497</v>
      </c>
      <c r="B8" s="99" t="s">
        <v>161</v>
      </c>
      <c r="C8" s="81" t="s">
        <v>619</v>
      </c>
      <c r="D8" s="3">
        <v>5.4039599899999997</v>
      </c>
      <c r="E8" s="8"/>
    </row>
    <row r="9" spans="1:5" x14ac:dyDescent="0.25">
      <c r="A9" s="274" t="s">
        <v>644</v>
      </c>
      <c r="B9" s="99" t="s">
        <v>162</v>
      </c>
      <c r="C9" s="81" t="s">
        <v>660</v>
      </c>
      <c r="D9" s="3">
        <v>602.37010399999997</v>
      </c>
      <c r="E9" s="8" t="s">
        <v>544</v>
      </c>
    </row>
    <row r="10" spans="1:5" x14ac:dyDescent="0.25">
      <c r="A10" s="274" t="s">
        <v>645</v>
      </c>
      <c r="B10" s="99" t="s">
        <v>163</v>
      </c>
      <c r="C10" s="81" t="s">
        <v>661</v>
      </c>
      <c r="D10" s="3">
        <v>316.48388</v>
      </c>
      <c r="E10" s="8" t="s">
        <v>544</v>
      </c>
    </row>
    <row r="11" spans="1:5" x14ac:dyDescent="0.25">
      <c r="A11" s="274" t="s">
        <v>498</v>
      </c>
      <c r="B11" s="99" t="s">
        <v>164</v>
      </c>
      <c r="C11" s="81" t="s">
        <v>658</v>
      </c>
      <c r="D11" s="3">
        <v>5756.9924899999996</v>
      </c>
      <c r="E11" s="8" t="s">
        <v>544</v>
      </c>
    </row>
    <row r="12" spans="1:5" x14ac:dyDescent="0.25">
      <c r="A12" s="274" t="s">
        <v>499</v>
      </c>
      <c r="B12" s="99" t="s">
        <v>165</v>
      </c>
      <c r="C12" s="81" t="s">
        <v>659</v>
      </c>
      <c r="D12" s="3">
        <v>1356.3594900000001</v>
      </c>
      <c r="E12" s="8" t="s">
        <v>544</v>
      </c>
    </row>
    <row r="13" spans="1:5" x14ac:dyDescent="0.25">
      <c r="A13" s="274" t="s">
        <v>500</v>
      </c>
      <c r="B13" s="99" t="s">
        <v>166</v>
      </c>
      <c r="C13" s="81" t="s">
        <v>804</v>
      </c>
      <c r="D13" s="3">
        <v>0</v>
      </c>
      <c r="E13" s="8" t="s">
        <v>544</v>
      </c>
    </row>
    <row r="14" spans="1:5" x14ac:dyDescent="0.25">
      <c r="A14" s="274" t="s">
        <v>501</v>
      </c>
      <c r="B14" s="99" t="s">
        <v>167</v>
      </c>
      <c r="C14" s="81" t="s">
        <v>803</v>
      </c>
      <c r="D14" s="3">
        <v>1872.50494</v>
      </c>
      <c r="E14" s="8" t="s">
        <v>544</v>
      </c>
    </row>
    <row r="15" spans="1:5" x14ac:dyDescent="0.25">
      <c r="A15" s="274" t="s">
        <v>502</v>
      </c>
      <c r="B15" s="99" t="s">
        <v>168</v>
      </c>
      <c r="C15" s="81" t="s">
        <v>561</v>
      </c>
      <c r="D15" s="3">
        <v>3587.3136300000001</v>
      </c>
      <c r="E15" s="8" t="s">
        <v>544</v>
      </c>
    </row>
    <row r="16" spans="1:5" ht="15.75" thickBot="1" x14ac:dyDescent="0.3">
      <c r="A16" s="275" t="s">
        <v>503</v>
      </c>
      <c r="B16" s="99" t="s">
        <v>169</v>
      </c>
      <c r="C16" s="81" t="s">
        <v>657</v>
      </c>
      <c r="D16" s="3">
        <v>6209.1123200000002</v>
      </c>
      <c r="E16" s="8" t="s">
        <v>544</v>
      </c>
    </row>
    <row r="17" spans="2:5" x14ac:dyDescent="0.25">
      <c r="B17" s="99" t="s">
        <v>170</v>
      </c>
      <c r="C17" s="81" t="s">
        <v>654</v>
      </c>
      <c r="D17" s="3">
        <v>60282.643900000003</v>
      </c>
      <c r="E17" s="8" t="s">
        <v>544</v>
      </c>
    </row>
    <row r="18" spans="2:5" x14ac:dyDescent="0.25">
      <c r="B18" s="99" t="s">
        <v>171</v>
      </c>
      <c r="C18" s="81" t="s">
        <v>785</v>
      </c>
      <c r="D18" s="3">
        <v>7793.5420199999999</v>
      </c>
      <c r="E18" s="8" t="s">
        <v>544</v>
      </c>
    </row>
    <row r="19" spans="2:5" x14ac:dyDescent="0.25">
      <c r="B19" s="99" t="s">
        <v>172</v>
      </c>
      <c r="C19" s="81" t="s">
        <v>656</v>
      </c>
      <c r="D19" s="3">
        <v>316.48388</v>
      </c>
      <c r="E19" s="8" t="s">
        <v>544</v>
      </c>
    </row>
    <row r="20" spans="2:5" x14ac:dyDescent="0.25">
      <c r="B20" s="99" t="s">
        <v>173</v>
      </c>
      <c r="C20" s="81" t="s">
        <v>655</v>
      </c>
      <c r="D20" s="3">
        <v>587.75577799999996</v>
      </c>
      <c r="E20" s="8" t="s">
        <v>544</v>
      </c>
    </row>
    <row r="21" spans="2:5" x14ac:dyDescent="0.25">
      <c r="B21" s="99" t="s">
        <v>174</v>
      </c>
      <c r="C21" s="81" t="s">
        <v>620</v>
      </c>
      <c r="D21" s="3">
        <v>25572.933300000001</v>
      </c>
      <c r="E21" s="8"/>
    </row>
    <row r="22" spans="2:5" x14ac:dyDescent="0.25">
      <c r="B22" s="99" t="s">
        <v>175</v>
      </c>
      <c r="C22" s="81" t="s">
        <v>616</v>
      </c>
      <c r="D22" s="3">
        <v>713.64695700000004</v>
      </c>
      <c r="E22" s="8"/>
    </row>
    <row r="23" spans="2:5" x14ac:dyDescent="0.25">
      <c r="B23" s="99" t="s">
        <v>176</v>
      </c>
      <c r="C23" s="81" t="s">
        <v>600</v>
      </c>
      <c r="D23" s="3">
        <v>0.35592288999999999</v>
      </c>
      <c r="E23" s="8" t="s">
        <v>567</v>
      </c>
    </row>
    <row r="24" spans="2:5" x14ac:dyDescent="0.25">
      <c r="B24" s="99" t="s">
        <v>177</v>
      </c>
      <c r="C24" s="81" t="s">
        <v>566</v>
      </c>
      <c r="D24" s="3">
        <v>0.29553407199999998</v>
      </c>
      <c r="E24" s="8" t="s">
        <v>567</v>
      </c>
    </row>
    <row r="25" spans="2:5" x14ac:dyDescent="0.25">
      <c r="B25" s="99" t="s">
        <v>178</v>
      </c>
      <c r="C25" s="81" t="s">
        <v>570</v>
      </c>
      <c r="D25" s="3">
        <v>0.326083609</v>
      </c>
      <c r="E25" s="8" t="s">
        <v>567</v>
      </c>
    </row>
    <row r="26" spans="2:5" x14ac:dyDescent="0.25">
      <c r="B26" s="99" t="s">
        <v>293</v>
      </c>
      <c r="C26" s="81" t="s">
        <v>568</v>
      </c>
      <c r="D26" s="3">
        <v>0.646481949</v>
      </c>
      <c r="E26" s="8" t="s">
        <v>567</v>
      </c>
    </row>
    <row r="27" spans="2:5" x14ac:dyDescent="0.25">
      <c r="B27" s="99" t="s">
        <v>179</v>
      </c>
      <c r="C27" s="81" t="s">
        <v>597</v>
      </c>
      <c r="D27" s="3">
        <v>0.646481949</v>
      </c>
      <c r="E27" s="8" t="s">
        <v>567</v>
      </c>
    </row>
    <row r="28" spans="2:5" x14ac:dyDescent="0.25">
      <c r="B28" s="99" t="s">
        <v>180</v>
      </c>
      <c r="C28" s="81" t="s">
        <v>604</v>
      </c>
      <c r="D28" s="3">
        <v>0.57005602399999999</v>
      </c>
      <c r="E28" s="8" t="s">
        <v>567</v>
      </c>
    </row>
    <row r="29" spans="2:5" x14ac:dyDescent="0.25">
      <c r="B29" s="99" t="s">
        <v>181</v>
      </c>
      <c r="C29" s="81" t="s">
        <v>540</v>
      </c>
      <c r="D29" s="3">
        <v>15070.661</v>
      </c>
      <c r="E29" s="8"/>
    </row>
    <row r="30" spans="2:5" x14ac:dyDescent="0.25">
      <c r="B30" s="99" t="s">
        <v>182</v>
      </c>
      <c r="C30" s="81" t="s">
        <v>291</v>
      </c>
      <c r="D30" s="3">
        <v>0.8</v>
      </c>
      <c r="E30" s="8"/>
    </row>
    <row r="31" spans="2:5" x14ac:dyDescent="0.25">
      <c r="B31" s="99" t="s">
        <v>183</v>
      </c>
      <c r="C31" s="81" t="s">
        <v>571</v>
      </c>
      <c r="D31" s="3">
        <v>-6.1794779799999997</v>
      </c>
      <c r="E31" s="8" t="s">
        <v>554</v>
      </c>
    </row>
    <row r="32" spans="2:5" x14ac:dyDescent="0.25">
      <c r="B32" s="99" t="s">
        <v>184</v>
      </c>
      <c r="C32" s="81" t="s">
        <v>572</v>
      </c>
      <c r="D32" s="3">
        <v>0.474886207</v>
      </c>
      <c r="E32" s="8" t="s">
        <v>554</v>
      </c>
    </row>
    <row r="33" spans="2:5" x14ac:dyDescent="0.25">
      <c r="B33" s="99" t="s">
        <v>185</v>
      </c>
      <c r="C33" s="81" t="s">
        <v>573</v>
      </c>
      <c r="D33" s="3">
        <v>2.4624180400000002</v>
      </c>
      <c r="E33" s="8" t="s">
        <v>554</v>
      </c>
    </row>
    <row r="34" spans="2:5" x14ac:dyDescent="0.25">
      <c r="B34" s="99" t="s">
        <v>186</v>
      </c>
      <c r="C34" s="81" t="s">
        <v>592</v>
      </c>
      <c r="D34" s="3">
        <v>0</v>
      </c>
      <c r="E34" s="8" t="s">
        <v>727</v>
      </c>
    </row>
    <row r="35" spans="2:5" x14ac:dyDescent="0.25">
      <c r="B35" s="99" t="s">
        <v>187</v>
      </c>
      <c r="C35" s="81" t="s">
        <v>593</v>
      </c>
      <c r="D35" s="3">
        <v>0</v>
      </c>
      <c r="E35" s="8" t="s">
        <v>727</v>
      </c>
    </row>
    <row r="36" spans="2:5" x14ac:dyDescent="0.25">
      <c r="B36" s="99" t="s">
        <v>188</v>
      </c>
      <c r="C36" s="81" t="s">
        <v>556</v>
      </c>
      <c r="D36" s="3">
        <v>4.9198721399999998</v>
      </c>
      <c r="E36" s="8" t="s">
        <v>554</v>
      </c>
    </row>
    <row r="37" spans="2:5" x14ac:dyDescent="0.25">
      <c r="B37" s="99" t="s">
        <v>189</v>
      </c>
      <c r="C37" s="81" t="s">
        <v>553</v>
      </c>
      <c r="D37" s="3">
        <v>-6.4427076300000001</v>
      </c>
      <c r="E37" s="8" t="s">
        <v>554</v>
      </c>
    </row>
    <row r="38" spans="2:5" x14ac:dyDescent="0.25">
      <c r="B38" s="99" t="s">
        <v>190</v>
      </c>
      <c r="C38" s="81" t="s">
        <v>555</v>
      </c>
      <c r="D38" s="3">
        <v>0.474886207</v>
      </c>
      <c r="E38" s="8" t="s">
        <v>554</v>
      </c>
    </row>
    <row r="39" spans="2:5" x14ac:dyDescent="0.25">
      <c r="B39" s="99" t="s">
        <v>191</v>
      </c>
      <c r="C39" s="81" t="s">
        <v>214</v>
      </c>
      <c r="D39" s="3">
        <v>-270326.41700000002</v>
      </c>
      <c r="E39" s="8"/>
    </row>
    <row r="40" spans="2:5" x14ac:dyDescent="0.25">
      <c r="B40" s="99" t="s">
        <v>192</v>
      </c>
      <c r="C40" s="81" t="s">
        <v>215</v>
      </c>
      <c r="D40" s="3">
        <v>-247231.83199999999</v>
      </c>
      <c r="E40" s="8"/>
    </row>
    <row r="41" spans="2:5" x14ac:dyDescent="0.25">
      <c r="B41" s="99" t="s">
        <v>193</v>
      </c>
      <c r="C41" s="81" t="s">
        <v>541</v>
      </c>
      <c r="D41" s="3">
        <v>-246838.21799999999</v>
      </c>
      <c r="E41" s="8"/>
    </row>
    <row r="42" spans="2:5" x14ac:dyDescent="0.25">
      <c r="B42" s="99" t="s">
        <v>194</v>
      </c>
      <c r="C42" s="81" t="s">
        <v>542</v>
      </c>
      <c r="D42" s="3">
        <v>-270310.15100000001</v>
      </c>
      <c r="E42" s="8"/>
    </row>
    <row r="43" spans="2:5" x14ac:dyDescent="0.25">
      <c r="B43" s="99" t="s">
        <v>195</v>
      </c>
      <c r="C43" s="81" t="s">
        <v>621</v>
      </c>
      <c r="D43" s="3">
        <v>874.73551799999996</v>
      </c>
      <c r="E43" s="8"/>
    </row>
    <row r="44" spans="2:5" x14ac:dyDescent="0.25">
      <c r="B44" s="99" t="s">
        <v>196</v>
      </c>
      <c r="C44" s="81" t="s">
        <v>615</v>
      </c>
      <c r="D44" s="3">
        <v>1058.5782400000001</v>
      </c>
      <c r="E44" s="8"/>
    </row>
    <row r="45" spans="2:5" x14ac:dyDescent="0.25">
      <c r="B45" s="99" t="s">
        <v>590</v>
      </c>
      <c r="C45" s="81" t="s">
        <v>539</v>
      </c>
      <c r="D45" s="3">
        <v>14754.177100000001</v>
      </c>
      <c r="E45" s="8"/>
    </row>
    <row r="46" spans="2:5" x14ac:dyDescent="0.25">
      <c r="B46" s="99" t="s">
        <v>591</v>
      </c>
      <c r="C46" s="81" t="s">
        <v>543</v>
      </c>
      <c r="D46" s="3">
        <v>75428.201799999995</v>
      </c>
      <c r="E46" s="8" t="s">
        <v>544</v>
      </c>
    </row>
    <row r="47" spans="2:5" x14ac:dyDescent="0.25">
      <c r="B47" s="99" t="s">
        <v>509</v>
      </c>
      <c r="C47" s="81" t="s">
        <v>585</v>
      </c>
      <c r="D47" s="3">
        <v>11.5652109</v>
      </c>
      <c r="E47" s="8" t="s">
        <v>544</v>
      </c>
    </row>
    <row r="48" spans="2:5" x14ac:dyDescent="0.25">
      <c r="B48" s="99" t="s">
        <v>599</v>
      </c>
      <c r="C48" s="81" t="s">
        <v>584</v>
      </c>
      <c r="D48" s="3">
        <v>286.97073699999999</v>
      </c>
      <c r="E48" s="8" t="s">
        <v>544</v>
      </c>
    </row>
    <row r="49" spans="2:11" x14ac:dyDescent="0.25">
      <c r="B49" s="99" t="s">
        <v>510</v>
      </c>
      <c r="C49" s="81" t="s">
        <v>565</v>
      </c>
      <c r="D49" s="3">
        <v>75428.201799999995</v>
      </c>
      <c r="E49" s="8" t="s">
        <v>544</v>
      </c>
    </row>
    <row r="50" spans="2:11" x14ac:dyDescent="0.25">
      <c r="B50" s="99" t="s">
        <v>511</v>
      </c>
      <c r="C50" s="81" t="s">
        <v>569</v>
      </c>
      <c r="D50" s="3">
        <v>72722.483300000007</v>
      </c>
      <c r="E50" s="8" t="s">
        <v>544</v>
      </c>
      <c r="K50" s="3"/>
    </row>
    <row r="51" spans="2:11" x14ac:dyDescent="0.25">
      <c r="B51" s="99" t="s">
        <v>795</v>
      </c>
      <c r="C51" s="81" t="s">
        <v>563</v>
      </c>
      <c r="D51" s="3">
        <v>65865.922300000006</v>
      </c>
      <c r="E51" s="8" t="s">
        <v>544</v>
      </c>
    </row>
    <row r="52" spans="2:11" x14ac:dyDescent="0.25">
      <c r="B52" s="99" t="s">
        <v>796</v>
      </c>
      <c r="C52" s="81" t="s">
        <v>562</v>
      </c>
      <c r="D52" s="3">
        <v>6673.7380800000001</v>
      </c>
      <c r="E52" s="8" t="s">
        <v>544</v>
      </c>
    </row>
    <row r="53" spans="2:11" x14ac:dyDescent="0.25">
      <c r="B53" s="99" t="s">
        <v>797</v>
      </c>
      <c r="C53" s="81" t="s">
        <v>564</v>
      </c>
      <c r="D53" s="3">
        <v>1927.8567399999999</v>
      </c>
      <c r="E53" s="8" t="s">
        <v>544</v>
      </c>
    </row>
    <row r="54" spans="2:11" x14ac:dyDescent="0.25">
      <c r="B54" s="99" t="s">
        <v>646</v>
      </c>
      <c r="C54" s="81" t="s">
        <v>603</v>
      </c>
      <c r="D54" s="3">
        <v>578.26054299999998</v>
      </c>
      <c r="E54" s="8" t="s">
        <v>544</v>
      </c>
    </row>
    <row r="55" spans="2:11" x14ac:dyDescent="0.25">
      <c r="B55" s="99" t="s">
        <v>647</v>
      </c>
      <c r="C55" s="81" t="s">
        <v>547</v>
      </c>
      <c r="D55" s="3">
        <v>2933.8489100000002</v>
      </c>
      <c r="E55" s="8" t="s">
        <v>544</v>
      </c>
    </row>
    <row r="56" spans="2:11" x14ac:dyDescent="0.25">
      <c r="B56" s="99" t="s">
        <v>648</v>
      </c>
      <c r="C56" s="81" t="s">
        <v>548</v>
      </c>
      <c r="D56" s="3">
        <v>66575.675000000003</v>
      </c>
      <c r="E56" s="8" t="s">
        <v>544</v>
      </c>
    </row>
    <row r="57" spans="2:11" x14ac:dyDescent="0.25">
      <c r="B57" s="99" t="s">
        <v>649</v>
      </c>
      <c r="C57" s="81" t="s">
        <v>549</v>
      </c>
      <c r="D57" s="3">
        <v>960.6846250000001</v>
      </c>
      <c r="E57" s="8" t="s">
        <v>544</v>
      </c>
    </row>
    <row r="58" spans="2:11" x14ac:dyDescent="0.25">
      <c r="B58" s="99" t="s">
        <v>650</v>
      </c>
      <c r="C58" s="81" t="s">
        <v>587</v>
      </c>
      <c r="D58" s="3">
        <v>0</v>
      </c>
      <c r="E58" s="8" t="s">
        <v>727</v>
      </c>
    </row>
    <row r="59" spans="2:11" x14ac:dyDescent="0.25">
      <c r="B59" s="99" t="s">
        <v>651</v>
      </c>
      <c r="C59" s="81" t="s">
        <v>586</v>
      </c>
      <c r="D59" s="3">
        <v>27.234051999999998</v>
      </c>
      <c r="E59" s="8" t="s">
        <v>544</v>
      </c>
    </row>
    <row r="60" spans="2:11" x14ac:dyDescent="0.25">
      <c r="B60" s="99" t="s">
        <v>652</v>
      </c>
      <c r="C60" s="81" t="s">
        <v>550</v>
      </c>
      <c r="D60" s="3">
        <v>14510.229799999997</v>
      </c>
      <c r="E60" s="8" t="s">
        <v>544</v>
      </c>
    </row>
    <row r="61" spans="2:11" x14ac:dyDescent="0.25">
      <c r="B61" s="99" t="s">
        <v>653</v>
      </c>
      <c r="C61" s="81" t="s">
        <v>806</v>
      </c>
      <c r="D61" s="3">
        <v>564192.73499999999</v>
      </c>
      <c r="E61" s="8" t="s">
        <v>544</v>
      </c>
    </row>
    <row r="62" spans="2:11" x14ac:dyDescent="0.25">
      <c r="B62" s="99" t="s">
        <v>801</v>
      </c>
      <c r="C62" s="81" t="s">
        <v>800</v>
      </c>
      <c r="D62" s="3">
        <v>0</v>
      </c>
      <c r="E62" s="8" t="s">
        <v>727</v>
      </c>
    </row>
    <row r="63" spans="2:11" x14ac:dyDescent="0.25">
      <c r="B63" s="99" t="s">
        <v>802</v>
      </c>
      <c r="C63" s="81" t="s">
        <v>551</v>
      </c>
      <c r="D63" s="3">
        <v>0</v>
      </c>
      <c r="E63" s="8" t="s">
        <v>727</v>
      </c>
    </row>
    <row r="64" spans="2:11" x14ac:dyDescent="0.25">
      <c r="B64" s="99" t="s">
        <v>805</v>
      </c>
      <c r="C64" s="81" t="s">
        <v>545</v>
      </c>
      <c r="D64" s="3">
        <v>4390.6234700000005</v>
      </c>
      <c r="E64" s="8" t="s">
        <v>544</v>
      </c>
    </row>
    <row r="65" spans="2:5" x14ac:dyDescent="0.25">
      <c r="B65" s="99" t="s">
        <v>784</v>
      </c>
      <c r="C65" s="81" t="s">
        <v>546</v>
      </c>
      <c r="D65" s="3">
        <v>865.83347000000003</v>
      </c>
      <c r="E65" s="8" t="s">
        <v>544</v>
      </c>
    </row>
    <row r="66" spans="2:5" x14ac:dyDescent="0.25">
      <c r="B66" s="99"/>
      <c r="C66" s="81" t="s">
        <v>552</v>
      </c>
      <c r="D66" s="3">
        <v>66575.675000000003</v>
      </c>
      <c r="E66" s="8" t="s">
        <v>544</v>
      </c>
    </row>
    <row r="67" spans="2:5" x14ac:dyDescent="0.25">
      <c r="B67" s="99"/>
      <c r="C67" s="81" t="s">
        <v>574</v>
      </c>
      <c r="D67" s="3">
        <v>29.596879399999978</v>
      </c>
      <c r="E67" s="8" t="s">
        <v>575</v>
      </c>
    </row>
    <row r="68" spans="2:5" x14ac:dyDescent="0.25">
      <c r="B68" s="99"/>
      <c r="C68" s="81" t="s">
        <v>576</v>
      </c>
      <c r="D68" s="3">
        <v>305.21109200000001</v>
      </c>
      <c r="E68" s="8" t="s">
        <v>575</v>
      </c>
    </row>
    <row r="69" spans="2:5" x14ac:dyDescent="0.25">
      <c r="B69" s="99"/>
      <c r="C69" s="81" t="s">
        <v>577</v>
      </c>
      <c r="D69" s="3">
        <v>350</v>
      </c>
      <c r="E69" s="8" t="s">
        <v>575</v>
      </c>
    </row>
    <row r="70" spans="2:5" x14ac:dyDescent="0.25">
      <c r="B70" s="99"/>
      <c r="C70" s="81" t="s">
        <v>578</v>
      </c>
      <c r="D70" s="3">
        <v>349.99945500000001</v>
      </c>
      <c r="E70" s="8" t="s">
        <v>575</v>
      </c>
    </row>
    <row r="71" spans="2:5" x14ac:dyDescent="0.25">
      <c r="B71" s="99"/>
      <c r="C71" s="81" t="s">
        <v>579</v>
      </c>
      <c r="D71" s="3">
        <v>240</v>
      </c>
      <c r="E71" s="8" t="s">
        <v>575</v>
      </c>
    </row>
    <row r="72" spans="2:5" x14ac:dyDescent="0.25">
      <c r="B72" s="99"/>
      <c r="C72" s="81" t="s">
        <v>580</v>
      </c>
      <c r="D72" s="3">
        <v>349.99945500000001</v>
      </c>
      <c r="E72" s="8" t="s">
        <v>575</v>
      </c>
    </row>
    <row r="73" spans="2:5" x14ac:dyDescent="0.25">
      <c r="B73" s="99"/>
      <c r="C73" s="81" t="s">
        <v>581</v>
      </c>
      <c r="D73" s="3">
        <v>115</v>
      </c>
      <c r="E73" s="8" t="s">
        <v>575</v>
      </c>
    </row>
    <row r="74" spans="2:5" x14ac:dyDescent="0.25">
      <c r="B74" s="99"/>
      <c r="C74" s="81" t="s">
        <v>582</v>
      </c>
      <c r="D74" s="3">
        <v>117.98975300000001</v>
      </c>
      <c r="E74" s="8" t="s">
        <v>575</v>
      </c>
    </row>
    <row r="75" spans="2:5" x14ac:dyDescent="0.25">
      <c r="B75" s="99"/>
      <c r="C75" s="81" t="s">
        <v>583</v>
      </c>
      <c r="D75" s="3">
        <v>80</v>
      </c>
      <c r="E75" s="8" t="s">
        <v>575</v>
      </c>
    </row>
    <row r="76" spans="2:5" x14ac:dyDescent="0.25">
      <c r="B76" s="99"/>
      <c r="C76" s="81" t="s">
        <v>798</v>
      </c>
      <c r="D76" s="3">
        <v>28.200080000000014</v>
      </c>
      <c r="E76" s="8" t="s">
        <v>575</v>
      </c>
    </row>
    <row r="77" spans="2:5" x14ac:dyDescent="0.25">
      <c r="B77" s="99"/>
      <c r="C77" s="81" t="s">
        <v>799</v>
      </c>
      <c r="D77" s="3">
        <v>37.021132399999999</v>
      </c>
      <c r="E77" s="8" t="s">
        <v>575</v>
      </c>
    </row>
    <row r="78" spans="2:5" x14ac:dyDescent="0.25">
      <c r="B78" s="99"/>
      <c r="C78" s="81" t="s">
        <v>557</v>
      </c>
      <c r="D78" s="3">
        <v>1224.4352200000001</v>
      </c>
      <c r="E78" s="8" t="s">
        <v>558</v>
      </c>
    </row>
    <row r="79" spans="2:5" x14ac:dyDescent="0.25">
      <c r="B79" s="99"/>
      <c r="C79" s="81" t="s">
        <v>559</v>
      </c>
      <c r="D79" s="3">
        <v>168.02910299999999</v>
      </c>
      <c r="E79" s="8" t="s">
        <v>558</v>
      </c>
    </row>
    <row r="80" spans="2:5" x14ac:dyDescent="0.25">
      <c r="B80" s="99"/>
      <c r="C80" s="81" t="s">
        <v>560</v>
      </c>
      <c r="D80" s="3">
        <v>1503.47072</v>
      </c>
      <c r="E80" s="8" t="s">
        <v>558</v>
      </c>
    </row>
    <row r="81" spans="2:5" x14ac:dyDescent="0.25">
      <c r="B81" s="99"/>
      <c r="C81" s="81"/>
      <c r="D81" s="3"/>
      <c r="E81" s="8"/>
    </row>
    <row r="82" spans="2:5" x14ac:dyDescent="0.25">
      <c r="B82" s="99"/>
      <c r="C82" s="81"/>
      <c r="D82" s="3"/>
      <c r="E82" s="8"/>
    </row>
    <row r="83" spans="2:5" x14ac:dyDescent="0.25">
      <c r="B83" s="99"/>
      <c r="C83" s="81"/>
      <c r="D83" s="3"/>
      <c r="E83" s="8"/>
    </row>
    <row r="84" spans="2:5" x14ac:dyDescent="0.25">
      <c r="B84" s="99"/>
      <c r="C84" s="81"/>
      <c r="D84" s="3"/>
      <c r="E84" s="8"/>
    </row>
    <row r="85" spans="2:5" x14ac:dyDescent="0.25">
      <c r="B85" s="99"/>
      <c r="C85" s="81"/>
      <c r="D85" s="3"/>
      <c r="E85" s="8"/>
    </row>
    <row r="86" spans="2:5" x14ac:dyDescent="0.25">
      <c r="B86" s="99"/>
      <c r="C86" s="81"/>
      <c r="D86" s="3"/>
      <c r="E86" s="8"/>
    </row>
    <row r="87" spans="2:5" x14ac:dyDescent="0.25">
      <c r="B87" s="99"/>
      <c r="C87" s="81"/>
      <c r="D87" s="3"/>
      <c r="E87" s="8"/>
    </row>
    <row r="88" spans="2:5" x14ac:dyDescent="0.25">
      <c r="B88" s="99"/>
      <c r="C88" s="81"/>
      <c r="D88" s="3"/>
      <c r="E88" s="8"/>
    </row>
    <row r="89" spans="2:5" x14ac:dyDescent="0.25">
      <c r="B89" s="99"/>
      <c r="C89" s="81"/>
      <c r="D89" s="3"/>
      <c r="E89" s="8"/>
    </row>
    <row r="90" spans="2:5" x14ac:dyDescent="0.25">
      <c r="B90" s="99"/>
      <c r="C90" s="81"/>
      <c r="D90" s="3"/>
      <c r="E90" s="8"/>
    </row>
    <row r="91" spans="2:5" x14ac:dyDescent="0.25">
      <c r="B91" s="99"/>
      <c r="C91" s="81"/>
      <c r="D91" s="3"/>
      <c r="E91" s="8"/>
    </row>
    <row r="92" spans="2:5" x14ac:dyDescent="0.25">
      <c r="B92" s="99"/>
      <c r="C92" s="81"/>
      <c r="D92" s="3"/>
      <c r="E92" s="8"/>
    </row>
    <row r="93" spans="2:5" x14ac:dyDescent="0.25">
      <c r="B93" s="99"/>
      <c r="C93" s="81"/>
      <c r="D93" s="3"/>
      <c r="E93" s="8"/>
    </row>
    <row r="94" spans="2:5" x14ac:dyDescent="0.25">
      <c r="B94" s="99"/>
      <c r="C94" s="81"/>
      <c r="D94" s="3"/>
      <c r="E94" s="8"/>
    </row>
    <row r="95" spans="2:5" x14ac:dyDescent="0.25">
      <c r="B95" s="99"/>
      <c r="C95" s="81"/>
      <c r="D95" s="3"/>
      <c r="E95" s="8"/>
    </row>
    <row r="96" spans="2:5" x14ac:dyDescent="0.25">
      <c r="B96" s="99"/>
      <c r="C96" s="81"/>
      <c r="D96" s="3"/>
      <c r="E96" s="8"/>
    </row>
    <row r="97" spans="2:5" x14ac:dyDescent="0.25">
      <c r="B97" s="99"/>
      <c r="C97" s="81"/>
      <c r="D97" s="3"/>
      <c r="E97" s="8"/>
    </row>
    <row r="98" spans="2:5" x14ac:dyDescent="0.25">
      <c r="B98" s="99"/>
      <c r="C98" s="81"/>
      <c r="D98" s="3"/>
      <c r="E98" s="8"/>
    </row>
    <row r="99" spans="2:5" x14ac:dyDescent="0.25">
      <c r="B99" s="99"/>
      <c r="C99" s="81"/>
      <c r="D99" s="3"/>
      <c r="E99" s="8"/>
    </row>
    <row r="100" spans="2:5" x14ac:dyDescent="0.25">
      <c r="B100" s="99"/>
      <c r="C100" s="81"/>
      <c r="D100" s="3"/>
      <c r="E100" s="8"/>
    </row>
    <row r="101" spans="2:5" x14ac:dyDescent="0.25">
      <c r="B101" s="99"/>
      <c r="C101" s="81"/>
      <c r="D101" s="3"/>
      <c r="E101" s="8"/>
    </row>
    <row r="102" spans="2:5" x14ac:dyDescent="0.25">
      <c r="B102" s="99"/>
      <c r="C102" s="81"/>
      <c r="D102" s="3"/>
      <c r="E102" s="8"/>
    </row>
    <row r="103" spans="2:5" x14ac:dyDescent="0.25">
      <c r="B103" s="99"/>
      <c r="C103" s="81"/>
      <c r="D103" s="3"/>
      <c r="E103" s="8"/>
    </row>
    <row r="104" spans="2:5" x14ac:dyDescent="0.25">
      <c r="B104" s="99"/>
      <c r="C104" s="81"/>
      <c r="D104" s="3"/>
      <c r="E104" s="8"/>
    </row>
    <row r="105" spans="2:5" x14ac:dyDescent="0.25">
      <c r="B105" s="99"/>
      <c r="C105" s="81"/>
      <c r="D105" s="3"/>
      <c r="E105" s="8"/>
    </row>
    <row r="106" spans="2:5" x14ac:dyDescent="0.25">
      <c r="B106" s="99"/>
      <c r="C106" s="81"/>
      <c r="D106" s="3"/>
      <c r="E106" s="8"/>
    </row>
    <row r="107" spans="2:5" x14ac:dyDescent="0.25">
      <c r="B107" s="99"/>
      <c r="C107" s="81"/>
      <c r="D107" s="3"/>
      <c r="E107" s="8"/>
    </row>
    <row r="108" spans="2:5" x14ac:dyDescent="0.25">
      <c r="B108" s="99"/>
      <c r="C108" s="81"/>
      <c r="D108" s="3"/>
      <c r="E108" s="8"/>
    </row>
    <row r="109" spans="2:5" x14ac:dyDescent="0.25">
      <c r="B109" s="99"/>
      <c r="C109" s="81"/>
      <c r="D109" s="3"/>
      <c r="E109" s="8"/>
    </row>
    <row r="110" spans="2:5" x14ac:dyDescent="0.25">
      <c r="B110" s="99"/>
      <c r="C110" s="81"/>
      <c r="D110" s="3"/>
      <c r="E110" s="8"/>
    </row>
    <row r="111" spans="2:5" x14ac:dyDescent="0.25">
      <c r="B111" s="99"/>
      <c r="C111" s="81"/>
      <c r="D111" s="3"/>
      <c r="E111" s="8"/>
    </row>
    <row r="112" spans="2:5" x14ac:dyDescent="0.25">
      <c r="B112" s="99"/>
      <c r="C112" s="81"/>
      <c r="D112" s="3"/>
      <c r="E112" s="8"/>
    </row>
    <row r="113" spans="2:5" x14ac:dyDescent="0.25">
      <c r="B113" s="99"/>
      <c r="C113" s="81"/>
      <c r="D113" s="3"/>
      <c r="E113" s="8"/>
    </row>
    <row r="114" spans="2:5" x14ac:dyDescent="0.25">
      <c r="B114" s="99"/>
      <c r="C114" s="81"/>
      <c r="D114" s="3"/>
      <c r="E114" s="8"/>
    </row>
    <row r="115" spans="2:5" x14ac:dyDescent="0.25">
      <c r="B115" s="99"/>
      <c r="C115" s="81"/>
      <c r="D115" s="3"/>
      <c r="E115" s="8"/>
    </row>
    <row r="116" spans="2:5" x14ac:dyDescent="0.25">
      <c r="B116" s="99"/>
      <c r="C116" s="81"/>
      <c r="D116" s="3"/>
      <c r="E116" s="8"/>
    </row>
    <row r="117" spans="2:5" x14ac:dyDescent="0.25">
      <c r="B117" s="99"/>
      <c r="C117" s="81"/>
      <c r="D117" s="3"/>
      <c r="E117" s="8"/>
    </row>
    <row r="118" spans="2:5" x14ac:dyDescent="0.25">
      <c r="B118" s="99"/>
      <c r="C118" s="81"/>
      <c r="D118" s="3"/>
      <c r="E118" s="8"/>
    </row>
    <row r="119" spans="2:5" x14ac:dyDescent="0.25">
      <c r="B119" s="99"/>
      <c r="C119" s="81"/>
      <c r="D119" s="3"/>
      <c r="E119" s="8"/>
    </row>
    <row r="120" spans="2:5" x14ac:dyDescent="0.25">
      <c r="B120" s="99"/>
      <c r="C120" s="81"/>
      <c r="D120" s="3"/>
      <c r="E120" s="8"/>
    </row>
    <row r="121" spans="2:5" x14ac:dyDescent="0.25">
      <c r="B121" s="99"/>
      <c r="C121" s="81"/>
      <c r="D121" s="3"/>
      <c r="E121" s="8"/>
    </row>
    <row r="122" spans="2:5" x14ac:dyDescent="0.25">
      <c r="B122" s="99"/>
      <c r="C122" s="81"/>
      <c r="D122" s="3"/>
      <c r="E122" s="8"/>
    </row>
    <row r="123" spans="2:5" x14ac:dyDescent="0.25">
      <c r="B123" s="99"/>
      <c r="C123" s="81"/>
      <c r="D123" s="3"/>
      <c r="E123" s="8"/>
    </row>
    <row r="124" spans="2:5" x14ac:dyDescent="0.25">
      <c r="B124" s="99"/>
      <c r="C124" s="81"/>
      <c r="D124" s="3"/>
      <c r="E124" s="8"/>
    </row>
    <row r="125" spans="2:5" x14ac:dyDescent="0.25">
      <c r="B125" s="99"/>
      <c r="C125" s="81"/>
      <c r="D125" s="3"/>
      <c r="E125" s="8"/>
    </row>
    <row r="126" spans="2:5" x14ac:dyDescent="0.25">
      <c r="B126" s="99"/>
      <c r="C126" s="81"/>
      <c r="D126" s="3"/>
      <c r="E126" s="8"/>
    </row>
    <row r="127" spans="2:5" x14ac:dyDescent="0.25">
      <c r="B127" s="99"/>
      <c r="C127" s="81"/>
      <c r="D127" s="3"/>
      <c r="E127" s="8"/>
    </row>
    <row r="128" spans="2:5" x14ac:dyDescent="0.25">
      <c r="B128" s="99"/>
      <c r="C128" s="81"/>
      <c r="D128" s="3"/>
      <c r="E128" s="8"/>
    </row>
    <row r="129" spans="2:5" x14ac:dyDescent="0.25">
      <c r="B129" s="99"/>
      <c r="C129" s="81"/>
      <c r="D129" s="3"/>
      <c r="E129" s="8"/>
    </row>
    <row r="130" spans="2:5" x14ac:dyDescent="0.25">
      <c r="B130" s="99"/>
      <c r="C130" s="81"/>
      <c r="D130" s="3"/>
      <c r="E130" s="8"/>
    </row>
    <row r="131" spans="2:5" x14ac:dyDescent="0.25">
      <c r="B131" s="99"/>
      <c r="C131" s="81"/>
      <c r="D131" s="3"/>
      <c r="E131" s="8"/>
    </row>
    <row r="132" spans="2:5" x14ac:dyDescent="0.25">
      <c r="B132" s="99"/>
      <c r="C132" s="81"/>
      <c r="D132" s="3"/>
      <c r="E132" s="8"/>
    </row>
    <row r="133" spans="2:5" x14ac:dyDescent="0.25">
      <c r="B133" s="99"/>
      <c r="C133" s="81"/>
      <c r="D133" s="3"/>
      <c r="E133" s="8"/>
    </row>
    <row r="134" spans="2:5" x14ac:dyDescent="0.25">
      <c r="B134" s="99"/>
      <c r="C134" s="81"/>
      <c r="D134" s="3"/>
      <c r="E134" s="8"/>
    </row>
    <row r="135" spans="2:5" x14ac:dyDescent="0.25">
      <c r="B135" s="99"/>
      <c r="C135" s="81"/>
      <c r="D135" s="3"/>
      <c r="E135" s="8"/>
    </row>
    <row r="136" spans="2:5" x14ac:dyDescent="0.25">
      <c r="B136" s="99"/>
      <c r="C136" s="81"/>
      <c r="D136" s="3"/>
      <c r="E136" s="8"/>
    </row>
    <row r="137" spans="2:5" x14ac:dyDescent="0.25">
      <c r="B137" s="99"/>
      <c r="C137" s="81"/>
      <c r="D137" s="3"/>
      <c r="E137" s="8"/>
    </row>
    <row r="138" spans="2:5" x14ac:dyDescent="0.25">
      <c r="B138" s="99"/>
      <c r="C138" s="81"/>
      <c r="D138" s="3"/>
      <c r="E138" s="8"/>
    </row>
    <row r="139" spans="2:5" x14ac:dyDescent="0.25">
      <c r="B139" s="99"/>
      <c r="C139" s="81"/>
      <c r="D139" s="3"/>
      <c r="E139" s="8"/>
    </row>
    <row r="140" spans="2:5" x14ac:dyDescent="0.25">
      <c r="B140" s="99"/>
      <c r="C140" s="81"/>
      <c r="D140" s="3"/>
      <c r="E140" s="8"/>
    </row>
    <row r="141" spans="2:5" x14ac:dyDescent="0.25">
      <c r="B141" s="99"/>
      <c r="C141" s="81"/>
      <c r="D141" s="3"/>
      <c r="E141" s="8"/>
    </row>
    <row r="142" spans="2:5" x14ac:dyDescent="0.25">
      <c r="B142" s="99"/>
      <c r="C142" s="81"/>
      <c r="D142" s="3"/>
      <c r="E142" s="8"/>
    </row>
    <row r="143" spans="2:5" x14ac:dyDescent="0.25">
      <c r="B143" s="99"/>
      <c r="C143" s="81"/>
      <c r="D143" s="3"/>
      <c r="E143" s="8"/>
    </row>
    <row r="144" spans="2:5" x14ac:dyDescent="0.25">
      <c r="B144" s="99"/>
      <c r="C144" s="81"/>
      <c r="D144" s="3"/>
      <c r="E144" s="8"/>
    </row>
    <row r="145" spans="2:5" x14ac:dyDescent="0.25">
      <c r="B145" s="99"/>
      <c r="C145" s="81"/>
      <c r="D145" s="3"/>
      <c r="E145" s="8"/>
    </row>
    <row r="146" spans="2:5" x14ac:dyDescent="0.25">
      <c r="B146" s="99"/>
      <c r="C146" s="81"/>
      <c r="D146" s="3"/>
      <c r="E146" s="8"/>
    </row>
    <row r="147" spans="2:5" x14ac:dyDescent="0.25">
      <c r="B147" s="99"/>
      <c r="C147" s="81"/>
      <c r="D147" s="3"/>
      <c r="E147" s="8"/>
    </row>
    <row r="148" spans="2:5" x14ac:dyDescent="0.25">
      <c r="B148" s="99"/>
      <c r="C148" s="81"/>
      <c r="D148" s="3"/>
      <c r="E148" s="8"/>
    </row>
    <row r="149" spans="2:5" x14ac:dyDescent="0.25">
      <c r="B149" s="99"/>
      <c r="C149" s="81"/>
      <c r="D149" s="3"/>
      <c r="E149" s="8"/>
    </row>
    <row r="150" spans="2:5" x14ac:dyDescent="0.25">
      <c r="B150" s="99"/>
      <c r="C150" s="81"/>
      <c r="D150" s="3"/>
      <c r="E150" s="8"/>
    </row>
    <row r="151" spans="2:5" x14ac:dyDescent="0.25">
      <c r="B151" s="99"/>
      <c r="C151" s="81"/>
      <c r="D151" s="3"/>
      <c r="E151" s="8"/>
    </row>
    <row r="152" spans="2:5" x14ac:dyDescent="0.25">
      <c r="B152" s="99"/>
      <c r="C152" s="81"/>
      <c r="D152" s="3"/>
      <c r="E152" s="8"/>
    </row>
    <row r="153" spans="2:5" x14ac:dyDescent="0.25">
      <c r="B153" s="99"/>
      <c r="C153" s="81"/>
      <c r="D153" s="3"/>
      <c r="E153" s="8"/>
    </row>
    <row r="154" spans="2:5" x14ac:dyDescent="0.25">
      <c r="B154" s="99"/>
      <c r="C154" s="81"/>
      <c r="D154" s="3"/>
      <c r="E154" s="8"/>
    </row>
    <row r="155" spans="2:5" x14ac:dyDescent="0.25">
      <c r="B155" s="99"/>
      <c r="C155" s="81"/>
      <c r="D155" s="3"/>
      <c r="E155" s="8"/>
    </row>
    <row r="156" spans="2:5" x14ac:dyDescent="0.25">
      <c r="B156" s="99"/>
      <c r="C156" s="81"/>
      <c r="D156" s="3"/>
      <c r="E156" s="8"/>
    </row>
    <row r="157" spans="2:5" x14ac:dyDescent="0.25">
      <c r="B157" s="99"/>
      <c r="C157" s="81"/>
      <c r="D157" s="3"/>
      <c r="E157" s="8"/>
    </row>
    <row r="158" spans="2:5" x14ac:dyDescent="0.25">
      <c r="B158" s="99"/>
      <c r="C158" s="81"/>
      <c r="D158" s="3"/>
      <c r="E158" s="8"/>
    </row>
    <row r="159" spans="2:5" x14ac:dyDescent="0.25">
      <c r="B159" s="99"/>
      <c r="C159" s="81"/>
      <c r="D159" s="3"/>
      <c r="E159" s="8"/>
    </row>
    <row r="160" spans="2:5" x14ac:dyDescent="0.25">
      <c r="B160" s="99"/>
      <c r="C160" s="81"/>
      <c r="D160" s="3"/>
      <c r="E160" s="8"/>
    </row>
    <row r="161" spans="2:5" x14ac:dyDescent="0.25">
      <c r="B161" s="99"/>
      <c r="C161" s="81"/>
      <c r="D161" s="3"/>
      <c r="E161" s="8"/>
    </row>
    <row r="162" spans="2:5" x14ac:dyDescent="0.25">
      <c r="B162" s="99"/>
      <c r="C162" s="81"/>
      <c r="D162" s="3"/>
      <c r="E162" s="8"/>
    </row>
    <row r="163" spans="2:5" x14ac:dyDescent="0.25">
      <c r="B163" s="99"/>
      <c r="C163" s="81"/>
      <c r="D163" s="3"/>
      <c r="E163" s="8"/>
    </row>
    <row r="164" spans="2:5" x14ac:dyDescent="0.25">
      <c r="B164" s="99"/>
      <c r="C164" s="81"/>
      <c r="D164" s="3"/>
      <c r="E164" s="8"/>
    </row>
    <row r="165" spans="2:5" x14ac:dyDescent="0.25">
      <c r="B165" s="99"/>
      <c r="C165" s="81"/>
      <c r="D165" s="3"/>
      <c r="E165" s="8"/>
    </row>
    <row r="166" spans="2:5" x14ac:dyDescent="0.25">
      <c r="B166" s="99"/>
      <c r="C166" s="81"/>
      <c r="D166" s="3"/>
      <c r="E166" s="8"/>
    </row>
    <row r="167" spans="2:5" x14ac:dyDescent="0.25">
      <c r="B167" s="99"/>
      <c r="C167" s="81"/>
      <c r="D167" s="3"/>
      <c r="E167" s="8"/>
    </row>
    <row r="168" spans="2:5" x14ac:dyDescent="0.25">
      <c r="B168" s="99"/>
      <c r="C168" s="81"/>
      <c r="D168" s="3"/>
      <c r="E168" s="8"/>
    </row>
    <row r="169" spans="2:5" x14ac:dyDescent="0.25">
      <c r="B169" s="99"/>
      <c r="C169" s="81"/>
      <c r="D169" s="3"/>
      <c r="E169" s="8"/>
    </row>
    <row r="170" spans="2:5" x14ac:dyDescent="0.25">
      <c r="B170" s="99"/>
      <c r="C170" s="81"/>
      <c r="D170" s="3"/>
      <c r="E170" s="8"/>
    </row>
    <row r="171" spans="2:5" x14ac:dyDescent="0.25">
      <c r="B171" s="99"/>
      <c r="C171" s="81"/>
      <c r="D171" s="3"/>
      <c r="E171" s="8"/>
    </row>
    <row r="172" spans="2:5" x14ac:dyDescent="0.25">
      <c r="B172" s="99"/>
      <c r="C172" s="81"/>
      <c r="D172" s="3"/>
      <c r="E172" s="8"/>
    </row>
    <row r="173" spans="2:5" x14ac:dyDescent="0.25">
      <c r="B173" s="99"/>
      <c r="C173" s="81"/>
      <c r="D173" s="3"/>
      <c r="E173" s="8"/>
    </row>
    <row r="174" spans="2:5" x14ac:dyDescent="0.25">
      <c r="B174" s="99"/>
      <c r="C174" s="81"/>
      <c r="D174" s="3"/>
      <c r="E174" s="8"/>
    </row>
    <row r="175" spans="2:5" x14ac:dyDescent="0.25">
      <c r="B175" s="99"/>
      <c r="C175" s="81"/>
      <c r="D175" s="3"/>
      <c r="E175" s="8"/>
    </row>
    <row r="176" spans="2:5" x14ac:dyDescent="0.25">
      <c r="B176" s="99"/>
      <c r="C176" s="81"/>
      <c r="D176" s="3"/>
      <c r="E176" s="8"/>
    </row>
    <row r="177" spans="2:5" x14ac:dyDescent="0.25">
      <c r="B177" s="99"/>
      <c r="C177" s="81"/>
      <c r="D177" s="3"/>
      <c r="E177" s="8"/>
    </row>
    <row r="178" spans="2:5" x14ac:dyDescent="0.25">
      <c r="B178" s="99"/>
      <c r="C178" s="81"/>
      <c r="D178" s="3"/>
      <c r="E178" s="8"/>
    </row>
    <row r="179" spans="2:5" x14ac:dyDescent="0.25">
      <c r="B179" s="99"/>
      <c r="C179" s="81"/>
      <c r="D179" s="3"/>
      <c r="E179" s="8"/>
    </row>
    <row r="180" spans="2:5" x14ac:dyDescent="0.25">
      <c r="B180" s="99"/>
      <c r="C180" s="81"/>
      <c r="D180" s="3"/>
      <c r="E180" s="8"/>
    </row>
    <row r="181" spans="2:5" x14ac:dyDescent="0.25">
      <c r="B181" s="99"/>
      <c r="C181" s="81"/>
      <c r="D181" s="3"/>
      <c r="E181" s="8"/>
    </row>
    <row r="182" spans="2:5" x14ac:dyDescent="0.25">
      <c r="B182" s="99"/>
      <c r="C182" s="81"/>
      <c r="D182" s="3"/>
      <c r="E182" s="8"/>
    </row>
    <row r="183" spans="2:5" x14ac:dyDescent="0.25">
      <c r="B183" s="99"/>
      <c r="C183" s="81"/>
      <c r="D183" s="3"/>
      <c r="E183" s="8"/>
    </row>
    <row r="184" spans="2:5" x14ac:dyDescent="0.25">
      <c r="B184" s="99"/>
      <c r="C184" s="81"/>
      <c r="D184" s="3"/>
      <c r="E184" s="8"/>
    </row>
    <row r="185" spans="2:5" x14ac:dyDescent="0.25">
      <c r="B185" s="99"/>
      <c r="C185" s="81"/>
      <c r="D185" s="3"/>
      <c r="E185" s="8"/>
    </row>
    <row r="186" spans="2:5" x14ac:dyDescent="0.25">
      <c r="B186" s="99"/>
      <c r="C186" s="81"/>
      <c r="D186" s="3"/>
      <c r="E186" s="8"/>
    </row>
    <row r="187" spans="2:5" x14ac:dyDescent="0.25">
      <c r="B187" s="99"/>
      <c r="C187" s="81"/>
      <c r="D187" s="3"/>
      <c r="E187" s="8"/>
    </row>
    <row r="188" spans="2:5" x14ac:dyDescent="0.25">
      <c r="B188" s="99"/>
      <c r="C188" s="81"/>
      <c r="D188" s="3"/>
      <c r="E188" s="8"/>
    </row>
    <row r="189" spans="2:5" x14ac:dyDescent="0.25">
      <c r="B189" s="99"/>
      <c r="C189" s="81"/>
      <c r="D189" s="3"/>
      <c r="E189" s="8"/>
    </row>
    <row r="190" spans="2:5" x14ac:dyDescent="0.25">
      <c r="B190" s="99"/>
      <c r="C190" s="81"/>
      <c r="D190" s="3"/>
      <c r="E190" s="8"/>
    </row>
    <row r="191" spans="2:5" x14ac:dyDescent="0.25">
      <c r="B191" s="99"/>
      <c r="C191" s="81"/>
      <c r="D191" s="3"/>
      <c r="E191" s="8"/>
    </row>
    <row r="192" spans="2:5" x14ac:dyDescent="0.25">
      <c r="B192" s="99"/>
      <c r="C192" s="81"/>
      <c r="D192" s="3"/>
      <c r="E192" s="8"/>
    </row>
    <row r="193" spans="2:5" x14ac:dyDescent="0.25">
      <c r="B193" s="99"/>
      <c r="C193" s="81"/>
      <c r="D193" s="3"/>
      <c r="E193" s="8"/>
    </row>
    <row r="194" spans="2:5" x14ac:dyDescent="0.25">
      <c r="B194" s="99"/>
      <c r="C194" s="81"/>
      <c r="D194" s="3"/>
      <c r="E194" s="8"/>
    </row>
    <row r="195" spans="2:5" x14ac:dyDescent="0.25">
      <c r="B195" s="99"/>
      <c r="C195" s="81"/>
      <c r="D195" s="3"/>
      <c r="E195" s="8"/>
    </row>
    <row r="196" spans="2:5" x14ac:dyDescent="0.25">
      <c r="B196" s="99"/>
      <c r="C196" s="81"/>
      <c r="D196" s="3"/>
      <c r="E196" s="8"/>
    </row>
    <row r="197" spans="2:5" x14ac:dyDescent="0.25">
      <c r="B197" s="99"/>
      <c r="C197" s="81"/>
      <c r="D197" s="3"/>
      <c r="E197" s="8"/>
    </row>
    <row r="198" spans="2:5" x14ac:dyDescent="0.25">
      <c r="B198" s="99"/>
      <c r="C198" s="81"/>
      <c r="D198" s="3"/>
      <c r="E198" s="8"/>
    </row>
    <row r="199" spans="2:5" x14ac:dyDescent="0.25">
      <c r="B199" s="99"/>
      <c r="C199" s="81"/>
      <c r="D199" s="3"/>
      <c r="E199" s="8"/>
    </row>
    <row r="200" spans="2:5" x14ac:dyDescent="0.25">
      <c r="B200" s="99"/>
      <c r="C200" s="81"/>
      <c r="D200" s="3"/>
      <c r="E200" s="8"/>
    </row>
    <row r="201" spans="2:5" x14ac:dyDescent="0.25">
      <c r="B201" s="99"/>
      <c r="C201" s="81"/>
      <c r="D201" s="3"/>
      <c r="E201" s="8"/>
    </row>
    <row r="202" spans="2:5" x14ac:dyDescent="0.25">
      <c r="B202" s="99"/>
      <c r="C202" s="81"/>
      <c r="D202" s="3"/>
      <c r="E202" s="8"/>
    </row>
    <row r="203" spans="2:5" x14ac:dyDescent="0.25">
      <c r="B203" s="99"/>
      <c r="C203" s="81"/>
      <c r="D203" s="3"/>
      <c r="E203" s="8"/>
    </row>
    <row r="204" spans="2:5" x14ac:dyDescent="0.25">
      <c r="B204" s="99"/>
      <c r="C204" s="81"/>
      <c r="D204" s="3"/>
      <c r="E204" s="8"/>
    </row>
    <row r="205" spans="2:5" x14ac:dyDescent="0.25">
      <c r="B205" s="99"/>
      <c r="C205" s="81"/>
      <c r="D205" s="3"/>
      <c r="E205" s="8"/>
    </row>
    <row r="206" spans="2:5" x14ac:dyDescent="0.25">
      <c r="B206" s="99"/>
      <c r="C206" s="81"/>
      <c r="D206" s="3"/>
      <c r="E206" s="8"/>
    </row>
    <row r="207" spans="2:5" x14ac:dyDescent="0.25">
      <c r="B207" s="99"/>
      <c r="C207" s="81"/>
      <c r="D207" s="3"/>
      <c r="E207" s="8"/>
    </row>
    <row r="208" spans="2:5" x14ac:dyDescent="0.25">
      <c r="B208" s="99"/>
      <c r="C208" s="81"/>
      <c r="D208" s="3"/>
      <c r="E208" s="8"/>
    </row>
    <row r="209" spans="2:5" x14ac:dyDescent="0.25">
      <c r="B209" s="99"/>
      <c r="C209" s="81"/>
      <c r="D209" s="3"/>
      <c r="E209" s="8"/>
    </row>
    <row r="210" spans="2:5" x14ac:dyDescent="0.25">
      <c r="B210" s="99"/>
      <c r="C210" s="81"/>
      <c r="D210" s="3"/>
      <c r="E210" s="8"/>
    </row>
    <row r="211" spans="2:5" x14ac:dyDescent="0.25">
      <c r="B211" s="99"/>
      <c r="C211" s="81"/>
      <c r="D211" s="3"/>
      <c r="E211" s="8"/>
    </row>
    <row r="212" spans="2:5" x14ac:dyDescent="0.25">
      <c r="B212" s="99"/>
      <c r="C212" s="81"/>
      <c r="D212" s="3"/>
      <c r="E212" s="8"/>
    </row>
    <row r="213" spans="2:5" x14ac:dyDescent="0.25">
      <c r="B213" s="99"/>
      <c r="C213" s="81"/>
      <c r="D213" s="3"/>
      <c r="E213" s="8"/>
    </row>
    <row r="214" spans="2:5" x14ac:dyDescent="0.25">
      <c r="B214" s="99"/>
      <c r="C214" s="81"/>
      <c r="D214" s="3"/>
      <c r="E214" s="8"/>
    </row>
    <row r="215" spans="2:5" x14ac:dyDescent="0.25">
      <c r="B215" s="99"/>
      <c r="C215" s="81"/>
      <c r="D215" s="3"/>
      <c r="E215" s="8"/>
    </row>
    <row r="216" spans="2:5" x14ac:dyDescent="0.25">
      <c r="B216" s="99"/>
      <c r="C216" s="81"/>
      <c r="D216" s="3"/>
      <c r="E216" s="8"/>
    </row>
    <row r="217" spans="2:5" x14ac:dyDescent="0.25">
      <c r="B217" s="99"/>
      <c r="C217" s="81"/>
      <c r="D217" s="3"/>
      <c r="E217" s="8"/>
    </row>
    <row r="218" spans="2:5" x14ac:dyDescent="0.25">
      <c r="B218" s="99"/>
      <c r="C218" s="81"/>
      <c r="D218" s="3"/>
      <c r="E218" s="8"/>
    </row>
    <row r="219" spans="2:5" x14ac:dyDescent="0.25">
      <c r="B219" s="99"/>
      <c r="C219" s="81"/>
      <c r="D219" s="3"/>
      <c r="E219" s="8"/>
    </row>
    <row r="220" spans="2:5" x14ac:dyDescent="0.25">
      <c r="B220" s="99"/>
      <c r="C220" s="81"/>
      <c r="D220" s="3"/>
      <c r="E220" s="8"/>
    </row>
    <row r="221" spans="2:5" x14ac:dyDescent="0.25">
      <c r="B221" s="99"/>
      <c r="C221" s="81"/>
      <c r="D221" s="3"/>
      <c r="E221" s="8"/>
    </row>
    <row r="222" spans="2:5" x14ac:dyDescent="0.25">
      <c r="B222" s="99"/>
      <c r="C222" s="81"/>
      <c r="D222" s="3"/>
      <c r="E222" s="8"/>
    </row>
    <row r="223" spans="2:5" x14ac:dyDescent="0.25">
      <c r="B223" s="99"/>
      <c r="C223" s="81"/>
      <c r="D223" s="3"/>
      <c r="E223" s="8"/>
    </row>
    <row r="224" spans="2:5" x14ac:dyDescent="0.25">
      <c r="B224" s="99"/>
      <c r="C224" s="81"/>
      <c r="D224" s="3"/>
      <c r="E224" s="8"/>
    </row>
    <row r="225" spans="2:5" x14ac:dyDescent="0.25">
      <c r="B225" s="99"/>
      <c r="C225" s="81"/>
      <c r="D225" s="3"/>
      <c r="E225" s="8"/>
    </row>
    <row r="226" spans="2:5" x14ac:dyDescent="0.25">
      <c r="B226" s="99"/>
      <c r="C226" s="81"/>
      <c r="D226" s="3"/>
      <c r="E226" s="8"/>
    </row>
    <row r="227" spans="2:5" x14ac:dyDescent="0.25">
      <c r="B227" s="99"/>
      <c r="C227" s="81"/>
      <c r="D227" s="3"/>
      <c r="E227" s="8"/>
    </row>
    <row r="228" spans="2:5" x14ac:dyDescent="0.25">
      <c r="B228" s="99"/>
      <c r="C228" s="81"/>
      <c r="D228" s="3"/>
      <c r="E228" s="8"/>
    </row>
    <row r="229" spans="2:5" x14ac:dyDescent="0.25">
      <c r="B229" s="99"/>
      <c r="C229" s="81"/>
      <c r="D229" s="3"/>
      <c r="E229" s="8"/>
    </row>
    <row r="230" spans="2:5" x14ac:dyDescent="0.25">
      <c r="B230" s="99"/>
      <c r="C230" s="81"/>
      <c r="D230" s="3"/>
      <c r="E230" s="8"/>
    </row>
    <row r="231" spans="2:5" x14ac:dyDescent="0.25">
      <c r="B231" s="99"/>
      <c r="C231" s="81"/>
      <c r="D231" s="3"/>
      <c r="E231" s="8"/>
    </row>
    <row r="232" spans="2:5" x14ac:dyDescent="0.25">
      <c r="B232" s="99"/>
      <c r="C232" s="81"/>
      <c r="D232" s="3"/>
      <c r="E232" s="8"/>
    </row>
    <row r="233" spans="2:5" x14ac:dyDescent="0.25">
      <c r="B233" s="99"/>
      <c r="C233" s="81"/>
      <c r="D233" s="3"/>
      <c r="E233" s="8"/>
    </row>
    <row r="234" spans="2:5" x14ac:dyDescent="0.25">
      <c r="B234" s="99"/>
      <c r="C234" s="81"/>
      <c r="D234" s="3"/>
      <c r="E234" s="8"/>
    </row>
    <row r="235" spans="2:5" x14ac:dyDescent="0.25">
      <c r="B235" s="99"/>
      <c r="C235" s="81"/>
      <c r="D235" s="3"/>
      <c r="E235" s="8"/>
    </row>
    <row r="236" spans="2:5" x14ac:dyDescent="0.25">
      <c r="B236" s="99"/>
      <c r="C236" s="81"/>
      <c r="D236" s="3"/>
      <c r="E236" s="8"/>
    </row>
    <row r="237" spans="2:5" x14ac:dyDescent="0.25">
      <c r="B237" s="99"/>
      <c r="C237" s="81"/>
      <c r="D237" s="3"/>
      <c r="E237" s="8"/>
    </row>
    <row r="238" spans="2:5" x14ac:dyDescent="0.25">
      <c r="B238" s="99"/>
      <c r="C238" s="81"/>
      <c r="D238" s="3"/>
      <c r="E238" s="8"/>
    </row>
    <row r="239" spans="2:5" x14ac:dyDescent="0.25">
      <c r="B239" s="99"/>
      <c r="C239" s="81"/>
      <c r="D239" s="3"/>
      <c r="E239" s="8"/>
    </row>
    <row r="240" spans="2:5" x14ac:dyDescent="0.25">
      <c r="B240" s="99"/>
      <c r="C240" s="81"/>
      <c r="D240" s="3"/>
      <c r="E240" s="8"/>
    </row>
    <row r="241" spans="2:5" x14ac:dyDescent="0.25">
      <c r="B241" s="99"/>
      <c r="C241" s="81"/>
      <c r="D241" s="3"/>
      <c r="E241" s="8"/>
    </row>
    <row r="242" spans="2:5" x14ac:dyDescent="0.25">
      <c r="B242" s="99"/>
      <c r="C242" s="81"/>
      <c r="D242" s="3"/>
      <c r="E242" s="8"/>
    </row>
    <row r="243" spans="2:5" x14ac:dyDescent="0.25">
      <c r="B243" s="99"/>
      <c r="C243" s="81"/>
      <c r="D243" s="3"/>
      <c r="E243" s="8"/>
    </row>
    <row r="244" spans="2:5" x14ac:dyDescent="0.25">
      <c r="B244" s="99"/>
      <c r="C244" s="81"/>
      <c r="D244" s="3"/>
      <c r="E244" s="8"/>
    </row>
    <row r="245" spans="2:5" x14ac:dyDescent="0.25">
      <c r="B245" s="99"/>
      <c r="C245" s="81"/>
      <c r="D245" s="3"/>
      <c r="E245" s="8"/>
    </row>
    <row r="246" spans="2:5" x14ac:dyDescent="0.25">
      <c r="B246" s="99"/>
      <c r="C246" s="81"/>
      <c r="D246" s="3"/>
      <c r="E246" s="8"/>
    </row>
    <row r="247" spans="2:5" x14ac:dyDescent="0.25">
      <c r="B247" s="99"/>
      <c r="C247" s="81"/>
      <c r="D247" s="3"/>
      <c r="E247" s="8"/>
    </row>
    <row r="248" spans="2:5" x14ac:dyDescent="0.25">
      <c r="B248" s="99"/>
      <c r="C248" s="81"/>
      <c r="D248" s="3"/>
      <c r="E248" s="8"/>
    </row>
    <row r="249" spans="2:5" x14ac:dyDescent="0.25">
      <c r="B249" s="99"/>
      <c r="C249" s="81"/>
      <c r="D249" s="3"/>
      <c r="E249" s="8"/>
    </row>
    <row r="250" spans="2:5" x14ac:dyDescent="0.25">
      <c r="B250" s="99"/>
      <c r="C250" s="81"/>
      <c r="D250" s="3"/>
      <c r="E250" s="8"/>
    </row>
    <row r="251" spans="2:5" x14ac:dyDescent="0.25">
      <c r="B251" s="99"/>
      <c r="C251" s="81"/>
      <c r="D251" s="3"/>
      <c r="E251" s="8"/>
    </row>
    <row r="252" spans="2:5" x14ac:dyDescent="0.25">
      <c r="B252" s="99"/>
      <c r="C252" s="81"/>
      <c r="D252" s="3"/>
      <c r="E252" s="8"/>
    </row>
    <row r="253" spans="2:5" x14ac:dyDescent="0.25">
      <c r="B253" s="99"/>
      <c r="C253" s="81"/>
      <c r="D253" s="3"/>
      <c r="E253" s="8"/>
    </row>
    <row r="254" spans="2:5" x14ac:dyDescent="0.25">
      <c r="B254" s="99"/>
      <c r="C254" s="81"/>
      <c r="D254" s="3"/>
      <c r="E254" s="8"/>
    </row>
    <row r="255" spans="2:5" x14ac:dyDescent="0.25">
      <c r="B255" s="99"/>
      <c r="C255" s="81"/>
      <c r="D255" s="3"/>
      <c r="E255" s="8"/>
    </row>
    <row r="256" spans="2:5" x14ac:dyDescent="0.25">
      <c r="B256" s="99"/>
      <c r="C256" s="81"/>
      <c r="D256" s="3"/>
      <c r="E256" s="8"/>
    </row>
    <row r="257" spans="2:5" x14ac:dyDescent="0.25">
      <c r="B257" s="99"/>
      <c r="C257" s="81"/>
      <c r="D257" s="3"/>
      <c r="E257" s="8"/>
    </row>
    <row r="258" spans="2:5" x14ac:dyDescent="0.25">
      <c r="B258" s="99"/>
      <c r="C258" s="81"/>
      <c r="D258" s="3"/>
      <c r="E258" s="8"/>
    </row>
    <row r="259" spans="2:5" x14ac:dyDescent="0.25">
      <c r="B259" s="99"/>
      <c r="C259" s="81"/>
      <c r="D259" s="3"/>
      <c r="E259" s="8"/>
    </row>
    <row r="260" spans="2:5" x14ac:dyDescent="0.25">
      <c r="B260" s="99"/>
      <c r="C260" s="81"/>
      <c r="D260" s="3"/>
      <c r="E260" s="8"/>
    </row>
    <row r="261" spans="2:5" x14ac:dyDescent="0.25">
      <c r="B261" s="99"/>
      <c r="C261" s="81"/>
      <c r="D261" s="3"/>
      <c r="E261" s="8"/>
    </row>
    <row r="262" spans="2:5" x14ac:dyDescent="0.25">
      <c r="B262" s="99"/>
      <c r="C262" s="81"/>
      <c r="D262" s="3"/>
      <c r="E262" s="8"/>
    </row>
    <row r="263" spans="2:5" x14ac:dyDescent="0.25">
      <c r="B263" s="99"/>
      <c r="C263" s="81"/>
      <c r="D263" s="3"/>
      <c r="E263" s="8"/>
    </row>
    <row r="264" spans="2:5" x14ac:dyDescent="0.25">
      <c r="B264" s="99"/>
      <c r="C264" s="81"/>
      <c r="D264" s="3"/>
      <c r="E264" s="8"/>
    </row>
    <row r="265" spans="2:5" x14ac:dyDescent="0.25">
      <c r="B265" s="99"/>
      <c r="C265" s="81"/>
      <c r="D265" s="3"/>
      <c r="E265" s="8"/>
    </row>
    <row r="266" spans="2:5" x14ac:dyDescent="0.25">
      <c r="B266" s="99"/>
      <c r="C266" s="81"/>
      <c r="D266" s="3"/>
      <c r="E266" s="8"/>
    </row>
    <row r="267" spans="2:5" x14ac:dyDescent="0.25">
      <c r="B267" s="99"/>
      <c r="C267" s="81"/>
      <c r="D267" s="3"/>
      <c r="E267" s="8"/>
    </row>
    <row r="268" spans="2:5" x14ac:dyDescent="0.25">
      <c r="B268" s="99"/>
      <c r="C268" s="81"/>
      <c r="D268" s="3"/>
      <c r="E268" s="8"/>
    </row>
    <row r="269" spans="2:5" x14ac:dyDescent="0.25">
      <c r="B269" s="99"/>
      <c r="C269" s="81"/>
      <c r="D269" s="3"/>
      <c r="E269" s="8"/>
    </row>
    <row r="270" spans="2:5" x14ac:dyDescent="0.25">
      <c r="B270" s="99"/>
      <c r="C270" s="81"/>
      <c r="D270" s="3"/>
      <c r="E270" s="8"/>
    </row>
    <row r="271" spans="2:5" x14ac:dyDescent="0.25">
      <c r="B271" s="99"/>
      <c r="C271" s="81"/>
      <c r="D271" s="3"/>
      <c r="E271" s="8"/>
    </row>
    <row r="272" spans="2:5" x14ac:dyDescent="0.25">
      <c r="B272" s="99"/>
      <c r="C272" s="81"/>
      <c r="D272" s="3"/>
      <c r="E272" s="8"/>
    </row>
    <row r="273" spans="2:5" x14ac:dyDescent="0.25">
      <c r="B273" s="99"/>
      <c r="C273" s="81"/>
      <c r="D273" s="3"/>
      <c r="E273" s="8"/>
    </row>
    <row r="274" spans="2:5" x14ac:dyDescent="0.25">
      <c r="B274" s="99"/>
      <c r="C274" s="81"/>
      <c r="D274" s="3"/>
      <c r="E274" s="8"/>
    </row>
    <row r="275" spans="2:5" x14ac:dyDescent="0.25">
      <c r="B275" s="99"/>
      <c r="C275" s="81"/>
      <c r="D275" s="3"/>
      <c r="E275" s="8"/>
    </row>
    <row r="276" spans="2:5" x14ac:dyDescent="0.25">
      <c r="B276" s="99"/>
      <c r="C276" s="81"/>
      <c r="D276" s="3"/>
      <c r="E276" s="8"/>
    </row>
    <row r="277" spans="2:5" x14ac:dyDescent="0.25">
      <c r="B277" s="99"/>
      <c r="C277" s="81"/>
      <c r="D277" s="3"/>
      <c r="E277" s="8"/>
    </row>
    <row r="278" spans="2:5" x14ac:dyDescent="0.25">
      <c r="B278" s="99"/>
      <c r="C278" s="81"/>
      <c r="D278" s="3"/>
      <c r="E278" s="8"/>
    </row>
    <row r="279" spans="2:5" x14ac:dyDescent="0.25">
      <c r="B279" s="99"/>
      <c r="C279" s="81"/>
      <c r="D279" s="3"/>
      <c r="E279" s="8"/>
    </row>
    <row r="280" spans="2:5" x14ac:dyDescent="0.25">
      <c r="B280" s="99"/>
      <c r="C280" s="81"/>
      <c r="D280" s="3"/>
      <c r="E280" s="8"/>
    </row>
    <row r="281" spans="2:5" x14ac:dyDescent="0.25">
      <c r="B281" s="99"/>
      <c r="C281" s="81"/>
      <c r="D281" s="3"/>
      <c r="E281" s="8"/>
    </row>
    <row r="282" spans="2:5" x14ac:dyDescent="0.25">
      <c r="B282" s="99"/>
      <c r="C282" s="81"/>
      <c r="D282" s="3"/>
      <c r="E282" s="8"/>
    </row>
    <row r="283" spans="2:5" x14ac:dyDescent="0.25">
      <c r="B283" s="99"/>
      <c r="C283" s="81"/>
      <c r="D283" s="3"/>
      <c r="E283" s="8"/>
    </row>
    <row r="284" spans="2:5" x14ac:dyDescent="0.25">
      <c r="B284" s="99"/>
      <c r="C284" s="81"/>
      <c r="D284" s="3"/>
      <c r="E284" s="8"/>
    </row>
    <row r="285" spans="2:5" x14ac:dyDescent="0.25">
      <c r="B285" s="99"/>
      <c r="C285" s="81"/>
      <c r="D285" s="3"/>
      <c r="E285" s="8"/>
    </row>
    <row r="286" spans="2:5" x14ac:dyDescent="0.25">
      <c r="B286" s="99"/>
      <c r="C286" s="81"/>
      <c r="D286" s="3"/>
      <c r="E286" s="8"/>
    </row>
    <row r="287" spans="2:5" x14ac:dyDescent="0.25">
      <c r="B287" s="99"/>
      <c r="C287" s="81"/>
      <c r="D287" s="3"/>
      <c r="E287" s="8"/>
    </row>
    <row r="288" spans="2:5" x14ac:dyDescent="0.25">
      <c r="B288" s="99"/>
      <c r="C288" s="81"/>
      <c r="D288" s="3"/>
      <c r="E288" s="8"/>
    </row>
    <row r="289" spans="2:5" x14ac:dyDescent="0.25">
      <c r="B289" s="99"/>
      <c r="C289" s="81"/>
      <c r="D289" s="3"/>
      <c r="E289" s="8"/>
    </row>
    <row r="290" spans="2:5" x14ac:dyDescent="0.25">
      <c r="B290" s="99"/>
      <c r="C290" s="81"/>
      <c r="D290" s="3"/>
      <c r="E290" s="8"/>
    </row>
    <row r="291" spans="2:5" x14ac:dyDescent="0.25">
      <c r="B291" s="99"/>
      <c r="C291" s="81"/>
      <c r="D291" s="3"/>
      <c r="E291" s="8"/>
    </row>
    <row r="292" spans="2:5" x14ac:dyDescent="0.25">
      <c r="B292" s="99"/>
      <c r="C292" s="81"/>
      <c r="D292" s="3"/>
      <c r="E292" s="8"/>
    </row>
    <row r="293" spans="2:5" x14ac:dyDescent="0.25">
      <c r="B293" s="99"/>
      <c r="C293" s="81"/>
      <c r="D293" s="3"/>
      <c r="E293" s="8"/>
    </row>
    <row r="294" spans="2:5" x14ac:dyDescent="0.25">
      <c r="B294" s="99"/>
      <c r="C294" s="81"/>
      <c r="D294" s="3"/>
      <c r="E294" s="8"/>
    </row>
    <row r="295" spans="2:5" x14ac:dyDescent="0.25">
      <c r="B295" s="99"/>
      <c r="C295" s="81"/>
      <c r="D295" s="3"/>
      <c r="E295" s="8"/>
    </row>
    <row r="296" spans="2:5" x14ac:dyDescent="0.25">
      <c r="B296" s="99"/>
      <c r="C296" s="81"/>
      <c r="D296" s="3"/>
      <c r="E296" s="8"/>
    </row>
    <row r="297" spans="2:5" x14ac:dyDescent="0.25">
      <c r="B297" s="99"/>
      <c r="C297" s="81"/>
      <c r="D297" s="3"/>
      <c r="E297" s="8"/>
    </row>
    <row r="298" spans="2:5" x14ac:dyDescent="0.25">
      <c r="B298" s="99"/>
      <c r="C298" s="81"/>
      <c r="D298" s="3"/>
      <c r="E298" s="8"/>
    </row>
    <row r="299" spans="2:5" x14ac:dyDescent="0.25">
      <c r="B299" s="99"/>
      <c r="C299" s="81"/>
      <c r="D299" s="3"/>
      <c r="E299" s="8"/>
    </row>
    <row r="300" spans="2:5" x14ac:dyDescent="0.25">
      <c r="B300" s="99"/>
      <c r="C300" s="81"/>
      <c r="D300" s="3"/>
      <c r="E300" s="8"/>
    </row>
    <row r="301" spans="2:5" x14ac:dyDescent="0.25">
      <c r="B301" s="99"/>
      <c r="C301" s="81"/>
      <c r="D301" s="3"/>
      <c r="E301" s="8"/>
    </row>
    <row r="302" spans="2:5" x14ac:dyDescent="0.25">
      <c r="B302" s="99"/>
      <c r="C302" s="81"/>
      <c r="D302" s="3"/>
      <c r="E302" s="8"/>
    </row>
    <row r="303" spans="2:5" x14ac:dyDescent="0.25">
      <c r="B303" s="99"/>
      <c r="C303" s="81"/>
      <c r="D303" s="3"/>
      <c r="E303" s="8"/>
    </row>
    <row r="304" spans="2:5" x14ac:dyDescent="0.25">
      <c r="B304" s="99"/>
      <c r="C304" s="81"/>
      <c r="D304" s="3"/>
      <c r="E304" s="8"/>
    </row>
    <row r="305" spans="2:5" x14ac:dyDescent="0.25">
      <c r="B305" s="99"/>
      <c r="C305" s="81"/>
      <c r="D305" s="3"/>
      <c r="E305" s="8"/>
    </row>
    <row r="306" spans="2:5" x14ac:dyDescent="0.25">
      <c r="B306" s="99"/>
      <c r="C306" s="81"/>
      <c r="D306" s="3"/>
      <c r="E306" s="8"/>
    </row>
    <row r="307" spans="2:5" x14ac:dyDescent="0.25">
      <c r="B307" s="99"/>
      <c r="C307" s="81"/>
      <c r="D307" s="3"/>
      <c r="E307" s="8"/>
    </row>
    <row r="308" spans="2:5" x14ac:dyDescent="0.25">
      <c r="B308" s="99"/>
      <c r="C308" s="81"/>
      <c r="D308" s="3"/>
      <c r="E308" s="8"/>
    </row>
    <row r="309" spans="2:5" x14ac:dyDescent="0.25">
      <c r="B309" s="99"/>
      <c r="C309" s="81"/>
      <c r="D309" s="3"/>
      <c r="E309" s="8"/>
    </row>
    <row r="310" spans="2:5" x14ac:dyDescent="0.25">
      <c r="B310" s="99"/>
      <c r="C310" s="81"/>
      <c r="D310" s="3"/>
      <c r="E310" s="8"/>
    </row>
    <row r="311" spans="2:5" x14ac:dyDescent="0.25">
      <c r="B311" s="99"/>
      <c r="C311" s="81"/>
      <c r="D311" s="3"/>
      <c r="E311" s="8"/>
    </row>
    <row r="312" spans="2:5" x14ac:dyDescent="0.25">
      <c r="B312" s="99"/>
      <c r="C312" s="81"/>
      <c r="D312" s="3"/>
      <c r="E312" s="8"/>
    </row>
    <row r="313" spans="2:5" x14ac:dyDescent="0.25">
      <c r="B313" s="99"/>
      <c r="C313" s="81"/>
      <c r="D313" s="3"/>
      <c r="E313" s="8"/>
    </row>
    <row r="314" spans="2:5" x14ac:dyDescent="0.25">
      <c r="B314" s="99"/>
      <c r="C314" s="81"/>
      <c r="D314" s="3"/>
      <c r="E314" s="8"/>
    </row>
    <row r="315" spans="2:5" x14ac:dyDescent="0.25">
      <c r="B315" s="99"/>
      <c r="C315" s="81"/>
      <c r="D315" s="3"/>
      <c r="E315" s="8"/>
    </row>
    <row r="316" spans="2:5" x14ac:dyDescent="0.25">
      <c r="B316" s="99"/>
      <c r="C316" s="81"/>
      <c r="D316" s="3"/>
      <c r="E316" s="8"/>
    </row>
    <row r="317" spans="2:5" x14ac:dyDescent="0.25">
      <c r="B317" s="99"/>
      <c r="C317" s="81"/>
      <c r="D317" s="3"/>
      <c r="E317" s="8"/>
    </row>
    <row r="318" spans="2:5" x14ac:dyDescent="0.25">
      <c r="B318" s="99"/>
      <c r="C318" s="81"/>
      <c r="D318" s="3"/>
      <c r="E318" s="8"/>
    </row>
    <row r="319" spans="2:5" x14ac:dyDescent="0.25">
      <c r="B319" s="99"/>
      <c r="C319" s="81"/>
      <c r="D319" s="3"/>
      <c r="E319" s="8"/>
    </row>
    <row r="320" spans="2:5" x14ac:dyDescent="0.25">
      <c r="B320" s="99"/>
      <c r="C320" s="81"/>
      <c r="D320" s="3"/>
      <c r="E320" s="8"/>
    </row>
    <row r="321" spans="2:5" x14ac:dyDescent="0.25">
      <c r="B321" s="99"/>
      <c r="C321" s="81"/>
      <c r="D321" s="3"/>
      <c r="E321" s="8"/>
    </row>
    <row r="322" spans="2:5" x14ac:dyDescent="0.25">
      <c r="B322" s="99"/>
      <c r="C322" s="81"/>
      <c r="D322" s="3"/>
      <c r="E322" s="8"/>
    </row>
    <row r="323" spans="2:5" x14ac:dyDescent="0.25">
      <c r="B323" s="99"/>
      <c r="C323" s="81"/>
      <c r="D323" s="3"/>
      <c r="E323" s="8"/>
    </row>
    <row r="324" spans="2:5" x14ac:dyDescent="0.25">
      <c r="B324" s="99"/>
      <c r="C324" s="81"/>
      <c r="D324" s="3"/>
      <c r="E324" s="8"/>
    </row>
    <row r="325" spans="2:5" x14ac:dyDescent="0.25">
      <c r="B325" s="99"/>
      <c r="C325" s="81"/>
      <c r="D325" s="3"/>
      <c r="E325" s="8"/>
    </row>
    <row r="326" spans="2:5" x14ac:dyDescent="0.25">
      <c r="B326" s="99"/>
      <c r="C326" s="81"/>
      <c r="D326" s="3"/>
      <c r="E326" s="8"/>
    </row>
    <row r="327" spans="2:5" x14ac:dyDescent="0.25">
      <c r="B327" s="99"/>
      <c r="C327" s="81"/>
      <c r="D327" s="3"/>
      <c r="E327" s="8"/>
    </row>
    <row r="328" spans="2:5" x14ac:dyDescent="0.25">
      <c r="B328" s="99"/>
      <c r="C328" s="81"/>
      <c r="D328" s="3"/>
      <c r="E328" s="8"/>
    </row>
    <row r="329" spans="2:5" x14ac:dyDescent="0.25">
      <c r="B329" s="99"/>
      <c r="C329" s="81"/>
      <c r="D329" s="3"/>
      <c r="E329" s="8"/>
    </row>
    <row r="330" spans="2:5" x14ac:dyDescent="0.25">
      <c r="B330" s="99"/>
      <c r="C330" s="81"/>
      <c r="D330" s="3"/>
      <c r="E330" s="8"/>
    </row>
    <row r="331" spans="2:5" x14ac:dyDescent="0.25">
      <c r="B331" s="99"/>
      <c r="C331" s="81"/>
      <c r="D331" s="3"/>
      <c r="E331" s="8"/>
    </row>
    <row r="332" spans="2:5" x14ac:dyDescent="0.25">
      <c r="B332" s="99"/>
      <c r="C332" s="81"/>
      <c r="D332" s="3"/>
      <c r="E332" s="8"/>
    </row>
    <row r="333" spans="2:5" x14ac:dyDescent="0.25">
      <c r="B333" s="99"/>
      <c r="C333" s="81"/>
      <c r="D333" s="3"/>
      <c r="E333" s="8"/>
    </row>
    <row r="334" spans="2:5" x14ac:dyDescent="0.25">
      <c r="B334" s="99"/>
      <c r="C334" s="81"/>
      <c r="D334" s="3"/>
      <c r="E334" s="8"/>
    </row>
    <row r="335" spans="2:5" x14ac:dyDescent="0.25">
      <c r="B335" s="99"/>
      <c r="C335" s="81"/>
      <c r="D335" s="3"/>
      <c r="E335" s="8"/>
    </row>
    <row r="336" spans="2:5" x14ac:dyDescent="0.25">
      <c r="B336" s="99"/>
      <c r="C336" s="81"/>
      <c r="D336" s="3"/>
      <c r="E336" s="8"/>
    </row>
    <row r="337" spans="2:5" x14ac:dyDescent="0.25">
      <c r="B337" s="99"/>
      <c r="C337" s="81"/>
      <c r="D337" s="3"/>
      <c r="E337" s="8"/>
    </row>
    <row r="338" spans="2:5" x14ac:dyDescent="0.25">
      <c r="B338" s="99"/>
      <c r="C338" s="81"/>
      <c r="D338" s="3"/>
      <c r="E338" s="8"/>
    </row>
    <row r="339" spans="2:5" x14ac:dyDescent="0.25">
      <c r="B339" s="99"/>
      <c r="C339" s="81"/>
      <c r="D339" s="3"/>
      <c r="E339" s="8"/>
    </row>
    <row r="340" spans="2:5" x14ac:dyDescent="0.25">
      <c r="B340" s="99"/>
      <c r="C340" s="81"/>
      <c r="D340" s="3"/>
      <c r="E340" s="8"/>
    </row>
    <row r="341" spans="2:5" x14ac:dyDescent="0.25">
      <c r="B341" s="99"/>
      <c r="C341" s="81"/>
      <c r="D341" s="3"/>
      <c r="E341" s="8"/>
    </row>
    <row r="342" spans="2:5" x14ac:dyDescent="0.25">
      <c r="B342" s="99"/>
      <c r="C342" s="81"/>
      <c r="D342" s="3"/>
      <c r="E342" s="8"/>
    </row>
    <row r="343" spans="2:5" x14ac:dyDescent="0.25">
      <c r="B343" s="99"/>
      <c r="C343" s="81"/>
      <c r="D343" s="3"/>
      <c r="E343" s="8"/>
    </row>
    <row r="344" spans="2:5" x14ac:dyDescent="0.25">
      <c r="B344" s="99"/>
      <c r="C344" s="81"/>
      <c r="D344" s="3"/>
      <c r="E344" s="8"/>
    </row>
    <row r="345" spans="2:5" x14ac:dyDescent="0.25">
      <c r="B345" s="99"/>
      <c r="C345" s="81"/>
      <c r="D345" s="3"/>
      <c r="E345" s="8"/>
    </row>
    <row r="346" spans="2:5" x14ac:dyDescent="0.25">
      <c r="B346" s="99"/>
      <c r="C346" s="81"/>
      <c r="D346" s="3"/>
      <c r="E346" s="8"/>
    </row>
    <row r="347" spans="2:5" x14ac:dyDescent="0.25">
      <c r="B347" s="99"/>
      <c r="C347" s="81"/>
      <c r="D347" s="3"/>
      <c r="E347" s="8"/>
    </row>
    <row r="348" spans="2:5" x14ac:dyDescent="0.25">
      <c r="B348" s="99"/>
      <c r="C348" s="81"/>
      <c r="D348" s="3"/>
      <c r="E348" s="8"/>
    </row>
    <row r="349" spans="2:5" x14ac:dyDescent="0.25">
      <c r="B349" s="99"/>
      <c r="C349" s="81"/>
      <c r="D349" s="3"/>
      <c r="E349" s="8"/>
    </row>
    <row r="350" spans="2:5" x14ac:dyDescent="0.25">
      <c r="B350" s="99"/>
      <c r="C350" s="81"/>
      <c r="D350" s="3"/>
      <c r="E350" s="8"/>
    </row>
    <row r="351" spans="2:5" x14ac:dyDescent="0.25">
      <c r="B351" s="99"/>
      <c r="C351" s="81"/>
      <c r="D351" s="3"/>
      <c r="E351" s="8"/>
    </row>
    <row r="352" spans="2:5" x14ac:dyDescent="0.25">
      <c r="B352" s="99"/>
      <c r="C352" s="81"/>
      <c r="D352" s="3"/>
      <c r="E352" s="8"/>
    </row>
    <row r="353" spans="2:5" x14ac:dyDescent="0.25">
      <c r="B353" s="99"/>
      <c r="C353" s="81"/>
      <c r="D353" s="3"/>
      <c r="E353" s="8"/>
    </row>
    <row r="354" spans="2:5" x14ac:dyDescent="0.25">
      <c r="B354" s="99"/>
      <c r="C354" s="81"/>
      <c r="D354" s="3"/>
      <c r="E354" s="8"/>
    </row>
    <row r="355" spans="2:5" x14ac:dyDescent="0.25">
      <c r="B355" s="99"/>
      <c r="C355" s="81"/>
      <c r="D355" s="3"/>
      <c r="E355" s="8"/>
    </row>
    <row r="356" spans="2:5" x14ac:dyDescent="0.25">
      <c r="B356" s="99"/>
      <c r="C356" s="81"/>
      <c r="D356" s="3"/>
      <c r="E356" s="8"/>
    </row>
    <row r="357" spans="2:5" x14ac:dyDescent="0.25">
      <c r="B357" s="99"/>
      <c r="C357" s="81"/>
      <c r="D357" s="3"/>
      <c r="E357" s="8"/>
    </row>
    <row r="358" spans="2:5" x14ac:dyDescent="0.25">
      <c r="B358" s="99"/>
      <c r="C358" s="81"/>
      <c r="D358" s="3"/>
      <c r="E358" s="8"/>
    </row>
    <row r="359" spans="2:5" x14ac:dyDescent="0.25">
      <c r="B359" s="99"/>
      <c r="C359" s="81"/>
      <c r="D359" s="3"/>
      <c r="E359" s="8"/>
    </row>
    <row r="360" spans="2:5" x14ac:dyDescent="0.25">
      <c r="B360" s="99"/>
      <c r="C360" s="81"/>
      <c r="D360" s="3"/>
      <c r="E360" s="8"/>
    </row>
    <row r="361" spans="2:5" x14ac:dyDescent="0.25">
      <c r="B361" s="99"/>
      <c r="C361" s="81"/>
      <c r="D361" s="3"/>
      <c r="E361" s="8"/>
    </row>
    <row r="362" spans="2:5" x14ac:dyDescent="0.25">
      <c r="B362" s="99"/>
      <c r="C362" s="81"/>
      <c r="D362" s="3"/>
      <c r="E362" s="8"/>
    </row>
    <row r="363" spans="2:5" x14ac:dyDescent="0.25">
      <c r="B363" s="99"/>
      <c r="C363" s="81"/>
      <c r="D363" s="3"/>
      <c r="E363" s="8"/>
    </row>
    <row r="364" spans="2:5" x14ac:dyDescent="0.25">
      <c r="B364" s="99"/>
      <c r="C364" s="81"/>
      <c r="D364" s="3"/>
      <c r="E364" s="8"/>
    </row>
    <row r="365" spans="2:5" x14ac:dyDescent="0.25">
      <c r="B365" s="99"/>
      <c r="C365" s="81"/>
      <c r="D365" s="3"/>
      <c r="E365" s="8"/>
    </row>
    <row r="366" spans="2:5" x14ac:dyDescent="0.25">
      <c r="B366" s="99"/>
      <c r="C366" s="81"/>
      <c r="D366" s="3"/>
      <c r="E366" s="8"/>
    </row>
    <row r="367" spans="2:5" x14ac:dyDescent="0.25">
      <c r="B367" s="99"/>
      <c r="C367" s="81"/>
      <c r="D367" s="3"/>
      <c r="E367" s="8"/>
    </row>
    <row r="368" spans="2:5" x14ac:dyDescent="0.25">
      <c r="B368" s="99"/>
      <c r="C368" s="81"/>
      <c r="D368" s="3"/>
      <c r="E368" s="8"/>
    </row>
    <row r="369" spans="2:5" x14ac:dyDescent="0.25">
      <c r="B369" s="99"/>
      <c r="C369" s="81"/>
      <c r="D369" s="3"/>
      <c r="E369" s="8"/>
    </row>
    <row r="370" spans="2:5" x14ac:dyDescent="0.25">
      <c r="B370" s="99"/>
      <c r="C370" s="81"/>
      <c r="D370" s="3"/>
      <c r="E370" s="8"/>
    </row>
    <row r="371" spans="2:5" x14ac:dyDescent="0.25">
      <c r="B371" s="99"/>
      <c r="C371" s="81"/>
      <c r="D371" s="3"/>
      <c r="E371" s="8"/>
    </row>
    <row r="372" spans="2:5" x14ac:dyDescent="0.25">
      <c r="B372" s="99"/>
      <c r="C372" s="81"/>
      <c r="D372" s="3"/>
      <c r="E372" s="8"/>
    </row>
    <row r="373" spans="2:5" x14ac:dyDescent="0.25">
      <c r="B373" s="99"/>
      <c r="C373" s="81"/>
      <c r="D373" s="3"/>
      <c r="E373" s="8"/>
    </row>
    <row r="374" spans="2:5" x14ac:dyDescent="0.25">
      <c r="B374" s="99"/>
      <c r="C374" s="81"/>
      <c r="D374" s="3"/>
      <c r="E374" s="8"/>
    </row>
    <row r="375" spans="2:5" x14ac:dyDescent="0.25">
      <c r="B375" s="99"/>
      <c r="C375" s="81"/>
      <c r="D375" s="3"/>
      <c r="E375" s="8"/>
    </row>
    <row r="376" spans="2:5" x14ac:dyDescent="0.25">
      <c r="B376" s="99"/>
      <c r="C376" s="81"/>
      <c r="D376" s="3"/>
      <c r="E376" s="8"/>
    </row>
    <row r="377" spans="2:5" x14ac:dyDescent="0.25">
      <c r="B377" s="99"/>
      <c r="C377" s="81"/>
      <c r="D377" s="3"/>
      <c r="E377" s="8"/>
    </row>
    <row r="378" spans="2:5" x14ac:dyDescent="0.25">
      <c r="B378" s="99"/>
      <c r="C378" s="81"/>
      <c r="D378" s="3"/>
      <c r="E378" s="8"/>
    </row>
    <row r="379" spans="2:5" x14ac:dyDescent="0.25">
      <c r="B379" s="99"/>
      <c r="C379" s="81"/>
      <c r="D379" s="3"/>
      <c r="E379" s="8"/>
    </row>
    <row r="380" spans="2:5" x14ac:dyDescent="0.25">
      <c r="B380" s="99"/>
      <c r="C380" s="81"/>
      <c r="D380" s="3"/>
      <c r="E380" s="8"/>
    </row>
    <row r="381" spans="2:5" x14ac:dyDescent="0.25">
      <c r="B381" s="99"/>
      <c r="C381" s="81"/>
      <c r="D381" s="3"/>
      <c r="E381" s="8"/>
    </row>
    <row r="382" spans="2:5" x14ac:dyDescent="0.25">
      <c r="B382" s="99"/>
      <c r="C382" s="81"/>
      <c r="D382" s="3"/>
      <c r="E382" s="8"/>
    </row>
    <row r="383" spans="2:5" x14ac:dyDescent="0.25">
      <c r="B383" s="99"/>
      <c r="C383" s="81"/>
      <c r="D383" s="3"/>
      <c r="E383" s="8"/>
    </row>
    <row r="384" spans="2:5" x14ac:dyDescent="0.25">
      <c r="B384" s="99"/>
      <c r="C384" s="81"/>
      <c r="D384" s="3"/>
      <c r="E384" s="8"/>
    </row>
    <row r="385" spans="2:5" x14ac:dyDescent="0.25">
      <c r="B385" s="99"/>
      <c r="C385" s="81"/>
      <c r="D385" s="3"/>
      <c r="E385" s="8"/>
    </row>
    <row r="386" spans="2:5" x14ac:dyDescent="0.25">
      <c r="B386" s="99"/>
      <c r="C386" s="81"/>
      <c r="D386" s="3"/>
      <c r="E386" s="8"/>
    </row>
    <row r="387" spans="2:5" x14ac:dyDescent="0.25">
      <c r="B387" s="99"/>
      <c r="C387" s="81"/>
      <c r="D387" s="3"/>
      <c r="E387" s="8"/>
    </row>
    <row r="388" spans="2:5" x14ac:dyDescent="0.25">
      <c r="B388" s="99"/>
      <c r="C388" s="81"/>
      <c r="D388" s="3"/>
      <c r="E388" s="8"/>
    </row>
    <row r="389" spans="2:5" x14ac:dyDescent="0.25">
      <c r="B389" s="99"/>
      <c r="C389" s="81"/>
      <c r="D389" s="3"/>
      <c r="E389" s="8"/>
    </row>
    <row r="390" spans="2:5" x14ac:dyDescent="0.25">
      <c r="B390" s="99"/>
      <c r="C390" s="81"/>
      <c r="D390" s="3"/>
      <c r="E390" s="8"/>
    </row>
    <row r="391" spans="2:5" x14ac:dyDescent="0.25">
      <c r="B391" s="99"/>
      <c r="C391" s="81"/>
      <c r="D391" s="3"/>
      <c r="E391" s="8"/>
    </row>
    <row r="392" spans="2:5" x14ac:dyDescent="0.25">
      <c r="B392" s="99"/>
      <c r="C392" s="81"/>
      <c r="D392" s="3"/>
      <c r="E392" s="8"/>
    </row>
    <row r="393" spans="2:5" x14ac:dyDescent="0.25">
      <c r="B393" s="99"/>
      <c r="C393" s="81"/>
      <c r="D393" s="3"/>
      <c r="E393" s="8"/>
    </row>
    <row r="394" spans="2:5" x14ac:dyDescent="0.25">
      <c r="B394" s="99"/>
      <c r="C394" s="81"/>
      <c r="D394" s="3"/>
      <c r="E394" s="8"/>
    </row>
    <row r="395" spans="2:5" x14ac:dyDescent="0.25">
      <c r="B395" s="99"/>
      <c r="C395" s="81"/>
      <c r="D395" s="3"/>
      <c r="E395" s="8"/>
    </row>
    <row r="396" spans="2:5" x14ac:dyDescent="0.25">
      <c r="B396" s="99"/>
      <c r="C396" s="81"/>
      <c r="D396" s="3"/>
      <c r="E396" s="8"/>
    </row>
    <row r="397" spans="2:5" x14ac:dyDescent="0.25">
      <c r="B397" s="99"/>
      <c r="C397" s="81"/>
      <c r="D397" s="3"/>
      <c r="E397" s="8"/>
    </row>
    <row r="398" spans="2:5" x14ac:dyDescent="0.25">
      <c r="B398" s="99"/>
      <c r="C398" s="81"/>
      <c r="D398" s="3"/>
      <c r="E398" s="8"/>
    </row>
    <row r="399" spans="2:5" x14ac:dyDescent="0.25">
      <c r="B399" s="99"/>
      <c r="C399" s="81"/>
      <c r="D399" s="3"/>
      <c r="E399" s="8"/>
    </row>
    <row r="400" spans="2:5" x14ac:dyDescent="0.25">
      <c r="B400" s="99"/>
      <c r="C400" s="81"/>
      <c r="D400" s="3"/>
      <c r="E400" s="8"/>
    </row>
    <row r="401" spans="2:5" x14ac:dyDescent="0.25">
      <c r="B401" s="99"/>
      <c r="C401" s="81"/>
      <c r="D401" s="3"/>
      <c r="E401" s="8"/>
    </row>
    <row r="402" spans="2:5" x14ac:dyDescent="0.25">
      <c r="B402" s="99"/>
      <c r="C402" s="81"/>
      <c r="D402" s="3"/>
      <c r="E402" s="8"/>
    </row>
    <row r="403" spans="2:5" x14ac:dyDescent="0.25">
      <c r="B403" s="99"/>
      <c r="C403" s="81"/>
      <c r="D403" s="3"/>
      <c r="E403" s="8"/>
    </row>
    <row r="404" spans="2:5" x14ac:dyDescent="0.25">
      <c r="B404" s="99"/>
      <c r="C404" s="81"/>
      <c r="D404" s="3"/>
      <c r="E404" s="8"/>
    </row>
    <row r="405" spans="2:5" x14ac:dyDescent="0.25">
      <c r="B405" s="99"/>
      <c r="C405" s="81"/>
      <c r="D405" s="3"/>
      <c r="E405" s="8"/>
    </row>
    <row r="406" spans="2:5" x14ac:dyDescent="0.25">
      <c r="B406" s="99"/>
      <c r="C406" s="81"/>
      <c r="D406" s="3"/>
      <c r="E406" s="8"/>
    </row>
    <row r="407" spans="2:5" x14ac:dyDescent="0.25">
      <c r="B407" s="99"/>
      <c r="C407" s="81"/>
      <c r="D407" s="3"/>
      <c r="E407" s="8"/>
    </row>
    <row r="408" spans="2:5" x14ac:dyDescent="0.25">
      <c r="B408" s="99"/>
      <c r="C408" s="81"/>
      <c r="D408" s="3"/>
      <c r="E408" s="8"/>
    </row>
    <row r="409" spans="2:5" x14ac:dyDescent="0.25">
      <c r="B409" s="99"/>
      <c r="C409" s="81"/>
      <c r="D409" s="3"/>
      <c r="E409" s="8"/>
    </row>
    <row r="410" spans="2:5" x14ac:dyDescent="0.25">
      <c r="B410" s="99"/>
      <c r="C410" s="81"/>
      <c r="D410" s="3"/>
      <c r="E410" s="8"/>
    </row>
    <row r="411" spans="2:5" x14ac:dyDescent="0.25">
      <c r="B411" s="99"/>
      <c r="C411" s="81"/>
      <c r="D411" s="3"/>
      <c r="E411" s="8"/>
    </row>
    <row r="412" spans="2:5" x14ac:dyDescent="0.25">
      <c r="B412" s="99"/>
      <c r="C412" s="81"/>
      <c r="D412" s="3"/>
      <c r="E412" s="8"/>
    </row>
    <row r="413" spans="2:5" x14ac:dyDescent="0.25">
      <c r="B413" s="99"/>
      <c r="C413" s="81"/>
      <c r="D413" s="3"/>
      <c r="E413" s="8"/>
    </row>
    <row r="414" spans="2:5" x14ac:dyDescent="0.25">
      <c r="B414" s="99"/>
      <c r="C414" s="81"/>
      <c r="D414" s="3"/>
      <c r="E414" s="8"/>
    </row>
    <row r="415" spans="2:5" x14ac:dyDescent="0.25">
      <c r="B415" s="99"/>
      <c r="C415" s="81"/>
      <c r="D415" s="3"/>
      <c r="E415" s="8"/>
    </row>
    <row r="416" spans="2:5" x14ac:dyDescent="0.25">
      <c r="B416" s="99"/>
      <c r="C416" s="81"/>
      <c r="D416" s="3"/>
      <c r="E416" s="8"/>
    </row>
    <row r="417" spans="2:5" x14ac:dyDescent="0.25">
      <c r="B417" s="99"/>
      <c r="C417" s="81"/>
      <c r="D417" s="3"/>
      <c r="E417" s="8"/>
    </row>
    <row r="418" spans="2:5" x14ac:dyDescent="0.25">
      <c r="B418" s="99"/>
      <c r="C418" s="81"/>
      <c r="D418" s="3"/>
      <c r="E418" s="8"/>
    </row>
    <row r="419" spans="2:5" x14ac:dyDescent="0.25">
      <c r="B419" s="99"/>
      <c r="C419" s="81"/>
      <c r="D419" s="3"/>
      <c r="E419" s="8"/>
    </row>
    <row r="420" spans="2:5" x14ac:dyDescent="0.25">
      <c r="B420" s="99"/>
      <c r="C420" s="81"/>
      <c r="D420" s="3"/>
      <c r="E420" s="8"/>
    </row>
    <row r="421" spans="2:5" x14ac:dyDescent="0.25">
      <c r="B421" s="99"/>
      <c r="C421" s="81"/>
      <c r="D421" s="3"/>
      <c r="E421" s="8"/>
    </row>
    <row r="422" spans="2:5" x14ac:dyDescent="0.25">
      <c r="B422" s="99"/>
      <c r="C422" s="81"/>
      <c r="D422" s="3"/>
      <c r="E422" s="8"/>
    </row>
    <row r="423" spans="2:5" x14ac:dyDescent="0.25">
      <c r="B423" s="99"/>
      <c r="C423" s="81"/>
      <c r="D423" s="3"/>
      <c r="E423" s="8"/>
    </row>
    <row r="424" spans="2:5" x14ac:dyDescent="0.25">
      <c r="B424" s="99"/>
      <c r="C424" s="81"/>
      <c r="D424" s="3"/>
      <c r="E424" s="8"/>
    </row>
    <row r="425" spans="2:5" x14ac:dyDescent="0.25">
      <c r="B425" s="99"/>
      <c r="C425" s="81"/>
      <c r="D425" s="3"/>
      <c r="E425" s="8"/>
    </row>
    <row r="426" spans="2:5" x14ac:dyDescent="0.25">
      <c r="B426" s="99"/>
      <c r="C426" s="81"/>
      <c r="D426" s="3"/>
      <c r="E426" s="8"/>
    </row>
    <row r="427" spans="2:5" x14ac:dyDescent="0.25">
      <c r="B427" s="99"/>
      <c r="C427" s="81"/>
      <c r="D427" s="3"/>
      <c r="E427" s="8"/>
    </row>
    <row r="428" spans="2:5" x14ac:dyDescent="0.25">
      <c r="B428" s="99"/>
      <c r="C428" s="81"/>
      <c r="D428" s="3"/>
      <c r="E428" s="8"/>
    </row>
    <row r="429" spans="2:5" x14ac:dyDescent="0.25">
      <c r="B429" s="99"/>
      <c r="C429" s="81"/>
      <c r="D429" s="3"/>
      <c r="E429" s="8"/>
    </row>
    <row r="430" spans="2:5" x14ac:dyDescent="0.25">
      <c r="B430" s="99"/>
      <c r="C430" s="81"/>
      <c r="D430" s="3"/>
      <c r="E430" s="8"/>
    </row>
    <row r="431" spans="2:5" x14ac:dyDescent="0.25">
      <c r="B431" s="99"/>
      <c r="C431" s="81"/>
      <c r="D431" s="3"/>
      <c r="E431" s="8"/>
    </row>
    <row r="432" spans="2:5" x14ac:dyDescent="0.25">
      <c r="B432" s="99"/>
      <c r="C432" s="81"/>
      <c r="D432" s="3"/>
      <c r="E432" s="8"/>
    </row>
    <row r="433" spans="2:5" x14ac:dyDescent="0.25">
      <c r="B433" s="99"/>
      <c r="C433" s="81"/>
      <c r="D433" s="3"/>
      <c r="E433" s="8"/>
    </row>
    <row r="434" spans="2:5" x14ac:dyDescent="0.25">
      <c r="B434" s="99"/>
      <c r="C434" s="81"/>
      <c r="D434" s="3"/>
      <c r="E434" s="8"/>
    </row>
    <row r="435" spans="2:5" x14ac:dyDescent="0.25">
      <c r="B435" s="99"/>
      <c r="C435" s="81"/>
      <c r="D435" s="3"/>
      <c r="E435" s="8"/>
    </row>
    <row r="436" spans="2:5" x14ac:dyDescent="0.25">
      <c r="B436" s="99"/>
      <c r="C436" s="81"/>
      <c r="D436" s="3"/>
      <c r="E436" s="8"/>
    </row>
    <row r="437" spans="2:5" x14ac:dyDescent="0.25">
      <c r="B437" s="99"/>
      <c r="C437" s="81"/>
      <c r="D437" s="3"/>
      <c r="E437" s="8"/>
    </row>
    <row r="438" spans="2:5" x14ac:dyDescent="0.25">
      <c r="B438" s="99"/>
      <c r="C438" s="81"/>
      <c r="D438" s="3"/>
      <c r="E438" s="8"/>
    </row>
    <row r="439" spans="2:5" x14ac:dyDescent="0.25">
      <c r="B439" s="99"/>
      <c r="C439" s="81"/>
      <c r="D439" s="3"/>
      <c r="E439" s="8"/>
    </row>
    <row r="440" spans="2:5" x14ac:dyDescent="0.25">
      <c r="B440" s="99"/>
      <c r="C440" s="81"/>
      <c r="D440" s="3"/>
      <c r="E440" s="8"/>
    </row>
    <row r="441" spans="2:5" x14ac:dyDescent="0.25">
      <c r="B441" s="99"/>
      <c r="C441" s="81"/>
      <c r="D441" s="3"/>
      <c r="E441" s="8"/>
    </row>
    <row r="442" spans="2:5" x14ac:dyDescent="0.25">
      <c r="B442" s="99"/>
      <c r="C442" s="81"/>
      <c r="D442" s="3"/>
      <c r="E442" s="8"/>
    </row>
    <row r="443" spans="2:5" x14ac:dyDescent="0.25">
      <c r="B443" s="99"/>
      <c r="C443" s="81"/>
      <c r="D443" s="3"/>
      <c r="E443" s="8"/>
    </row>
    <row r="444" spans="2:5" x14ac:dyDescent="0.25">
      <c r="B444" s="99"/>
      <c r="C444" s="81"/>
      <c r="D444" s="3"/>
      <c r="E444" s="8"/>
    </row>
    <row r="445" spans="2:5" x14ac:dyDescent="0.25">
      <c r="B445" s="99"/>
      <c r="C445" s="81"/>
      <c r="D445" s="3"/>
      <c r="E445" s="8"/>
    </row>
    <row r="446" spans="2:5" x14ac:dyDescent="0.25">
      <c r="B446" s="99"/>
      <c r="C446" s="81"/>
      <c r="D446" s="3"/>
      <c r="E446" s="8"/>
    </row>
    <row r="447" spans="2:5" x14ac:dyDescent="0.25">
      <c r="B447" s="99"/>
      <c r="C447" s="81"/>
      <c r="D447" s="3"/>
      <c r="E447" s="8"/>
    </row>
    <row r="448" spans="2:5" x14ac:dyDescent="0.25">
      <c r="B448" s="99"/>
      <c r="C448" s="81"/>
      <c r="D448" s="3"/>
      <c r="E448" s="8"/>
    </row>
    <row r="449" spans="2:5" x14ac:dyDescent="0.25">
      <c r="B449" s="99"/>
      <c r="C449" s="81"/>
      <c r="D449" s="3"/>
      <c r="E449" s="8"/>
    </row>
    <row r="450" spans="2:5" x14ac:dyDescent="0.25">
      <c r="B450" s="99"/>
      <c r="C450" s="81"/>
      <c r="D450" s="3"/>
      <c r="E450" s="8"/>
    </row>
    <row r="451" spans="2:5" x14ac:dyDescent="0.25">
      <c r="B451" s="99"/>
      <c r="C451" s="81"/>
      <c r="D451" s="3"/>
      <c r="E451" s="8"/>
    </row>
    <row r="452" spans="2:5" x14ac:dyDescent="0.25">
      <c r="B452" s="99"/>
      <c r="C452" s="81"/>
      <c r="D452" s="3"/>
      <c r="E452" s="8"/>
    </row>
    <row r="453" spans="2:5" x14ac:dyDescent="0.25">
      <c r="B453" s="99"/>
      <c r="C453" s="81"/>
      <c r="D453" s="3"/>
      <c r="E453" s="8"/>
    </row>
    <row r="454" spans="2:5" x14ac:dyDescent="0.25">
      <c r="B454" s="99"/>
      <c r="C454" s="81"/>
      <c r="D454" s="3"/>
      <c r="E454" s="8"/>
    </row>
    <row r="455" spans="2:5" x14ac:dyDescent="0.25">
      <c r="B455" s="99"/>
      <c r="C455" s="81"/>
      <c r="D455" s="3"/>
      <c r="E455" s="8"/>
    </row>
    <row r="456" spans="2:5" x14ac:dyDescent="0.25">
      <c r="B456" s="99"/>
      <c r="C456" s="81"/>
      <c r="D456" s="3"/>
      <c r="E456" s="8"/>
    </row>
    <row r="457" spans="2:5" x14ac:dyDescent="0.25">
      <c r="B457" s="99"/>
      <c r="C457" s="81"/>
      <c r="D457" s="3"/>
      <c r="E457" s="8"/>
    </row>
    <row r="458" spans="2:5" x14ac:dyDescent="0.25">
      <c r="B458" s="99"/>
      <c r="C458" s="81"/>
      <c r="D458" s="3"/>
      <c r="E458" s="8"/>
    </row>
    <row r="459" spans="2:5" x14ac:dyDescent="0.25">
      <c r="B459" s="99"/>
      <c r="C459" s="81"/>
      <c r="D459" s="3"/>
      <c r="E459" s="8"/>
    </row>
    <row r="460" spans="2:5" x14ac:dyDescent="0.25">
      <c r="B460" s="99"/>
      <c r="C460" s="81"/>
      <c r="D460" s="3"/>
      <c r="E460" s="8"/>
    </row>
    <row r="461" spans="2:5" x14ac:dyDescent="0.25">
      <c r="B461" s="99"/>
      <c r="C461" s="81"/>
      <c r="D461" s="3"/>
      <c r="E461" s="8"/>
    </row>
    <row r="462" spans="2:5" x14ac:dyDescent="0.25">
      <c r="B462" s="99"/>
      <c r="C462" s="81"/>
      <c r="D462" s="3"/>
      <c r="E462" s="8"/>
    </row>
    <row r="463" spans="2:5" x14ac:dyDescent="0.25">
      <c r="B463" s="99"/>
      <c r="C463" s="81"/>
      <c r="D463" s="3"/>
      <c r="E463" s="8"/>
    </row>
    <row r="464" spans="2:5" x14ac:dyDescent="0.25">
      <c r="B464" s="99"/>
      <c r="C464" s="81"/>
      <c r="D464" s="3"/>
      <c r="E464" s="8"/>
    </row>
    <row r="465" spans="2:5" x14ac:dyDescent="0.25">
      <c r="B465" s="99"/>
      <c r="C465" s="81"/>
      <c r="D465" s="3"/>
      <c r="E465" s="8"/>
    </row>
    <row r="466" spans="2:5" x14ac:dyDescent="0.25">
      <c r="B466" s="99"/>
      <c r="C466" s="81"/>
      <c r="D466" s="3"/>
      <c r="E466" s="8"/>
    </row>
    <row r="467" spans="2:5" x14ac:dyDescent="0.25">
      <c r="B467" s="99"/>
      <c r="C467" s="81"/>
      <c r="D467" s="3"/>
      <c r="E467" s="8"/>
    </row>
    <row r="468" spans="2:5" x14ac:dyDescent="0.25">
      <c r="B468" s="99"/>
      <c r="C468" s="81"/>
      <c r="D468" s="3"/>
      <c r="E468" s="8"/>
    </row>
    <row r="469" spans="2:5" x14ac:dyDescent="0.25">
      <c r="B469" s="99"/>
      <c r="C469" s="81"/>
      <c r="D469" s="3"/>
      <c r="E469" s="8"/>
    </row>
    <row r="470" spans="2:5" x14ac:dyDescent="0.25">
      <c r="B470" s="99"/>
      <c r="C470" s="81"/>
      <c r="D470" s="3"/>
      <c r="E470" s="8"/>
    </row>
    <row r="471" spans="2:5" x14ac:dyDescent="0.25">
      <c r="B471" s="99"/>
      <c r="C471" s="81"/>
      <c r="D471" s="3"/>
      <c r="E471" s="8"/>
    </row>
    <row r="472" spans="2:5" x14ac:dyDescent="0.25">
      <c r="B472" s="99"/>
      <c r="C472" s="81"/>
      <c r="D472" s="3"/>
      <c r="E472" s="8"/>
    </row>
    <row r="473" spans="2:5" x14ac:dyDescent="0.25">
      <c r="B473" s="99"/>
      <c r="C473" s="81"/>
      <c r="D473" s="3"/>
      <c r="E473" s="8"/>
    </row>
    <row r="474" spans="2:5" x14ac:dyDescent="0.25">
      <c r="B474" s="99"/>
      <c r="C474" s="81"/>
      <c r="D474" s="3"/>
      <c r="E474" s="8"/>
    </row>
    <row r="475" spans="2:5" x14ac:dyDescent="0.25">
      <c r="B475" s="99"/>
      <c r="C475" s="81"/>
      <c r="D475" s="3"/>
      <c r="E475" s="8"/>
    </row>
    <row r="476" spans="2:5" x14ac:dyDescent="0.25">
      <c r="B476" s="99"/>
      <c r="C476" s="81"/>
      <c r="D476" s="3"/>
      <c r="E476" s="8"/>
    </row>
    <row r="477" spans="2:5" x14ac:dyDescent="0.25">
      <c r="B477" s="99"/>
      <c r="C477" s="81"/>
      <c r="D477" s="3"/>
      <c r="E477" s="8"/>
    </row>
    <row r="478" spans="2:5" x14ac:dyDescent="0.25">
      <c r="B478" s="99"/>
      <c r="C478" s="81"/>
      <c r="D478" s="3"/>
      <c r="E478" s="8"/>
    </row>
    <row r="479" spans="2:5" x14ac:dyDescent="0.25">
      <c r="B479" s="99"/>
      <c r="C479" s="81"/>
      <c r="D479" s="3"/>
      <c r="E479" s="8"/>
    </row>
    <row r="480" spans="2:5" x14ac:dyDescent="0.25">
      <c r="B480" s="99"/>
      <c r="C480" s="81"/>
      <c r="D480" s="3"/>
      <c r="E480" s="8"/>
    </row>
    <row r="481" spans="2:5" x14ac:dyDescent="0.25">
      <c r="B481" s="99"/>
      <c r="C481" s="81"/>
      <c r="D481" s="3"/>
      <c r="E481" s="8"/>
    </row>
    <row r="482" spans="2:5" x14ac:dyDescent="0.25">
      <c r="B482" s="99"/>
      <c r="C482" s="81"/>
      <c r="D482" s="3"/>
      <c r="E482" s="8"/>
    </row>
    <row r="483" spans="2:5" x14ac:dyDescent="0.25">
      <c r="B483" s="99"/>
      <c r="C483" s="81"/>
      <c r="D483" s="3"/>
      <c r="E483" s="8"/>
    </row>
    <row r="484" spans="2:5" x14ac:dyDescent="0.25">
      <c r="B484" s="99"/>
      <c r="C484" s="81"/>
      <c r="D484" s="3"/>
      <c r="E484" s="8"/>
    </row>
    <row r="485" spans="2:5" x14ac:dyDescent="0.25">
      <c r="B485" s="99"/>
      <c r="C485" s="81"/>
      <c r="D485" s="3"/>
      <c r="E485" s="8"/>
    </row>
    <row r="486" spans="2:5" x14ac:dyDescent="0.25">
      <c r="B486" s="99"/>
      <c r="C486" s="81"/>
      <c r="D486" s="3"/>
      <c r="E486" s="8"/>
    </row>
    <row r="487" spans="2:5" x14ac:dyDescent="0.25">
      <c r="B487" s="99"/>
      <c r="C487" s="81"/>
      <c r="D487" s="3"/>
      <c r="E487" s="8"/>
    </row>
    <row r="488" spans="2:5" x14ac:dyDescent="0.25">
      <c r="B488" s="99"/>
      <c r="C488" s="81"/>
      <c r="D488" s="3"/>
      <c r="E488" s="8"/>
    </row>
    <row r="489" spans="2:5" x14ac:dyDescent="0.25">
      <c r="B489" s="99"/>
      <c r="C489" s="81"/>
      <c r="D489" s="3"/>
      <c r="E489" s="8"/>
    </row>
    <row r="490" spans="2:5" x14ac:dyDescent="0.25">
      <c r="B490" s="99"/>
      <c r="C490" s="81"/>
      <c r="D490" s="3"/>
      <c r="E490" s="8"/>
    </row>
    <row r="491" spans="2:5" x14ac:dyDescent="0.25">
      <c r="B491" s="99"/>
      <c r="C491" s="81"/>
      <c r="D491" s="3"/>
      <c r="E491" s="8"/>
    </row>
    <row r="492" spans="2:5" x14ac:dyDescent="0.25">
      <c r="B492" s="99"/>
      <c r="C492" s="81"/>
      <c r="D492" s="3"/>
      <c r="E492" s="8"/>
    </row>
    <row r="493" spans="2:5" x14ac:dyDescent="0.25">
      <c r="B493" s="99"/>
      <c r="C493" s="81"/>
      <c r="D493" s="3"/>
      <c r="E493" s="8"/>
    </row>
    <row r="494" spans="2:5" x14ac:dyDescent="0.25">
      <c r="B494" s="99"/>
      <c r="C494" s="81"/>
      <c r="D494" s="3"/>
      <c r="E494" s="8"/>
    </row>
    <row r="495" spans="2:5" x14ac:dyDescent="0.25">
      <c r="B495" s="99"/>
      <c r="C495" s="81"/>
      <c r="D495" s="3"/>
      <c r="E495" s="8"/>
    </row>
    <row r="496" spans="2:5" x14ac:dyDescent="0.25">
      <c r="B496" s="99"/>
      <c r="C496" s="81"/>
      <c r="D496" s="3"/>
      <c r="E496" s="8"/>
    </row>
    <row r="497" spans="2:5" x14ac:dyDescent="0.25">
      <c r="B497" s="99"/>
      <c r="C497" s="81"/>
      <c r="D497" s="3"/>
      <c r="E497" s="8"/>
    </row>
    <row r="498" spans="2:5" x14ac:dyDescent="0.25">
      <c r="B498" s="99"/>
      <c r="C498" s="81"/>
      <c r="D498" s="3"/>
      <c r="E498" s="8"/>
    </row>
    <row r="499" spans="2:5" x14ac:dyDescent="0.25">
      <c r="B499" s="99"/>
      <c r="C499" s="81"/>
      <c r="D499" s="3"/>
      <c r="E499" s="8"/>
    </row>
    <row r="500" spans="2:5" x14ac:dyDescent="0.25">
      <c r="B500" s="99"/>
      <c r="C500" s="81"/>
      <c r="D500" s="3"/>
      <c r="E500" s="8"/>
    </row>
    <row r="501" spans="2:5" x14ac:dyDescent="0.25">
      <c r="B501" s="99"/>
      <c r="C501" s="81"/>
      <c r="D501" s="3"/>
      <c r="E501" s="8"/>
    </row>
    <row r="502" spans="2:5" x14ac:dyDescent="0.25">
      <c r="B502" s="99"/>
      <c r="C502" s="81"/>
      <c r="D502" s="3"/>
      <c r="E502" s="8"/>
    </row>
    <row r="503" spans="2:5" x14ac:dyDescent="0.25">
      <c r="B503" s="99"/>
      <c r="C503" s="81"/>
      <c r="D503" s="3"/>
      <c r="E503" s="8"/>
    </row>
    <row r="504" spans="2:5" x14ac:dyDescent="0.25">
      <c r="B504" s="99"/>
      <c r="C504" s="81"/>
      <c r="D504" s="3"/>
      <c r="E504" s="8"/>
    </row>
    <row r="505" spans="2:5" x14ac:dyDescent="0.25">
      <c r="B505" s="99"/>
      <c r="C505" s="81"/>
      <c r="D505" s="3"/>
      <c r="E505" s="8"/>
    </row>
    <row r="506" spans="2:5" x14ac:dyDescent="0.25">
      <c r="B506" s="99"/>
      <c r="C506" s="81"/>
      <c r="D506" s="3"/>
      <c r="E506" s="8"/>
    </row>
    <row r="507" spans="2:5" x14ac:dyDescent="0.25">
      <c r="B507" s="99"/>
      <c r="C507" s="81"/>
      <c r="D507" s="3"/>
      <c r="E507" s="8"/>
    </row>
    <row r="508" spans="2:5" x14ac:dyDescent="0.25">
      <c r="B508" s="99"/>
      <c r="C508" s="81"/>
      <c r="D508" s="3"/>
      <c r="E508" s="8"/>
    </row>
    <row r="509" spans="2:5" x14ac:dyDescent="0.25">
      <c r="B509" s="99"/>
      <c r="C509" s="81"/>
      <c r="D509" s="3"/>
      <c r="E509" s="8"/>
    </row>
    <row r="510" spans="2:5" x14ac:dyDescent="0.25">
      <c r="B510" s="99"/>
      <c r="C510" s="81"/>
      <c r="D510" s="3"/>
      <c r="E510" s="8"/>
    </row>
    <row r="511" spans="2:5" x14ac:dyDescent="0.25">
      <c r="B511" s="99"/>
      <c r="C511" s="81"/>
      <c r="D511" s="3"/>
      <c r="E511" s="8"/>
    </row>
    <row r="512" spans="2:5" x14ac:dyDescent="0.25">
      <c r="B512" s="99"/>
      <c r="C512" s="81"/>
      <c r="D512" s="3"/>
      <c r="E512" s="8"/>
    </row>
    <row r="513" spans="2:5" x14ac:dyDescent="0.25">
      <c r="B513" s="99"/>
      <c r="C513" s="81"/>
      <c r="D513" s="3"/>
      <c r="E513" s="8"/>
    </row>
    <row r="514" spans="2:5" x14ac:dyDescent="0.25">
      <c r="B514" s="99"/>
      <c r="C514" s="81"/>
      <c r="D514" s="3"/>
      <c r="E514" s="8"/>
    </row>
    <row r="515" spans="2:5" x14ac:dyDescent="0.25">
      <c r="B515" s="99"/>
      <c r="C515" s="81"/>
      <c r="D515" s="3"/>
      <c r="E515" s="8"/>
    </row>
    <row r="516" spans="2:5" x14ac:dyDescent="0.25">
      <c r="B516" s="99"/>
      <c r="C516" s="81"/>
      <c r="D516" s="3"/>
      <c r="E516" s="8"/>
    </row>
    <row r="517" spans="2:5" x14ac:dyDescent="0.25">
      <c r="B517" s="99"/>
      <c r="C517" s="81"/>
      <c r="D517" s="3"/>
      <c r="E517" s="8"/>
    </row>
    <row r="518" spans="2:5" x14ac:dyDescent="0.25">
      <c r="B518" s="99"/>
      <c r="C518" s="81"/>
      <c r="D518" s="3"/>
      <c r="E518" s="8"/>
    </row>
    <row r="519" spans="2:5" x14ac:dyDescent="0.25">
      <c r="B519" s="99"/>
      <c r="C519" s="81"/>
      <c r="D519" s="3"/>
      <c r="E519" s="8"/>
    </row>
    <row r="520" spans="2:5" x14ac:dyDescent="0.25">
      <c r="B520" s="99"/>
      <c r="C520" s="81"/>
      <c r="D520" s="3"/>
      <c r="E520" s="8"/>
    </row>
    <row r="521" spans="2:5" x14ac:dyDescent="0.25">
      <c r="B521" s="99"/>
      <c r="C521" s="81"/>
      <c r="D521" s="3"/>
      <c r="E521" s="8"/>
    </row>
    <row r="522" spans="2:5" x14ac:dyDescent="0.25">
      <c r="B522" s="99"/>
      <c r="C522" s="81"/>
      <c r="D522" s="3"/>
      <c r="E522" s="8"/>
    </row>
    <row r="523" spans="2:5" x14ac:dyDescent="0.25">
      <c r="B523" s="99"/>
      <c r="C523" s="81"/>
      <c r="D523" s="3"/>
      <c r="E523" s="8"/>
    </row>
    <row r="524" spans="2:5" x14ac:dyDescent="0.25">
      <c r="B524" s="99"/>
      <c r="C524" s="81"/>
      <c r="D524" s="3"/>
      <c r="E524" s="8"/>
    </row>
    <row r="525" spans="2:5" x14ac:dyDescent="0.25">
      <c r="B525" s="99"/>
      <c r="C525" s="81"/>
      <c r="D525" s="3"/>
      <c r="E525" s="8"/>
    </row>
    <row r="526" spans="2:5" x14ac:dyDescent="0.25">
      <c r="B526" s="99"/>
      <c r="C526" s="81"/>
      <c r="D526" s="3"/>
      <c r="E526" s="8"/>
    </row>
    <row r="527" spans="2:5" x14ac:dyDescent="0.25">
      <c r="B527" s="99"/>
      <c r="C527" s="81"/>
      <c r="D527" s="3"/>
      <c r="E527" s="8"/>
    </row>
    <row r="528" spans="2:5" x14ac:dyDescent="0.25">
      <c r="B528" s="99"/>
      <c r="C528" s="81"/>
      <c r="D528" s="3"/>
      <c r="E528" s="8"/>
    </row>
    <row r="529" spans="2:5" x14ac:dyDescent="0.25">
      <c r="B529" s="99"/>
      <c r="C529" s="81"/>
      <c r="D529" s="3"/>
      <c r="E529" s="8"/>
    </row>
    <row r="530" spans="2:5" x14ac:dyDescent="0.25">
      <c r="B530" s="99"/>
      <c r="C530" s="81"/>
      <c r="D530" s="3"/>
      <c r="E530" s="8"/>
    </row>
    <row r="531" spans="2:5" x14ac:dyDescent="0.25">
      <c r="B531" s="99"/>
      <c r="C531" s="81"/>
      <c r="D531" s="3"/>
      <c r="E531" s="8"/>
    </row>
    <row r="532" spans="2:5" x14ac:dyDescent="0.25">
      <c r="B532" s="99"/>
      <c r="C532" s="81"/>
      <c r="D532" s="3"/>
      <c r="E532" s="8"/>
    </row>
    <row r="533" spans="2:5" x14ac:dyDescent="0.25">
      <c r="B533" s="99"/>
      <c r="C533" s="81"/>
      <c r="D533" s="3"/>
      <c r="E533" s="8"/>
    </row>
    <row r="534" spans="2:5" x14ac:dyDescent="0.25">
      <c r="B534" s="99"/>
      <c r="C534" s="81"/>
      <c r="D534" s="3"/>
      <c r="E534" s="8"/>
    </row>
    <row r="535" spans="2:5" x14ac:dyDescent="0.25">
      <c r="B535" s="99"/>
      <c r="C535" s="81"/>
      <c r="D535" s="3"/>
      <c r="E535" s="8"/>
    </row>
    <row r="536" spans="2:5" x14ac:dyDescent="0.25">
      <c r="B536" s="99"/>
      <c r="C536" s="81"/>
      <c r="D536" s="3"/>
      <c r="E536" s="8"/>
    </row>
    <row r="537" spans="2:5" x14ac:dyDescent="0.25">
      <c r="B537" s="99"/>
      <c r="C537" s="81"/>
      <c r="D537" s="3"/>
      <c r="E537" s="8"/>
    </row>
    <row r="538" spans="2:5" x14ac:dyDescent="0.25">
      <c r="B538" s="99"/>
      <c r="C538" s="81"/>
      <c r="D538" s="3"/>
      <c r="E538" s="8"/>
    </row>
    <row r="539" spans="2:5" x14ac:dyDescent="0.25">
      <c r="B539" s="99"/>
      <c r="C539" s="81"/>
      <c r="D539" s="3"/>
      <c r="E539" s="8"/>
    </row>
    <row r="540" spans="2:5" x14ac:dyDescent="0.25">
      <c r="B540" s="99"/>
      <c r="C540" s="81"/>
      <c r="D540" s="3"/>
      <c r="E540" s="8"/>
    </row>
    <row r="541" spans="2:5" x14ac:dyDescent="0.25">
      <c r="B541" s="99"/>
      <c r="C541" s="81"/>
      <c r="D541" s="3"/>
      <c r="E541" s="8"/>
    </row>
    <row r="542" spans="2:5" x14ac:dyDescent="0.25">
      <c r="B542" s="99"/>
      <c r="C542" s="81"/>
      <c r="D542" s="3"/>
      <c r="E542" s="8"/>
    </row>
    <row r="543" spans="2:5" x14ac:dyDescent="0.25">
      <c r="B543" s="99"/>
      <c r="C543" s="81"/>
      <c r="D543" s="3"/>
      <c r="E543" s="8"/>
    </row>
    <row r="544" spans="2:5" x14ac:dyDescent="0.25">
      <c r="B544" s="99"/>
      <c r="C544" s="81"/>
      <c r="D544" s="3"/>
      <c r="E544" s="8"/>
    </row>
    <row r="545" spans="2:5" x14ac:dyDescent="0.25">
      <c r="B545" s="99"/>
      <c r="C545" s="81"/>
      <c r="D545" s="3"/>
      <c r="E545" s="8"/>
    </row>
    <row r="546" spans="2:5" x14ac:dyDescent="0.25">
      <c r="B546" s="99"/>
      <c r="C546" s="81"/>
      <c r="D546" s="3"/>
      <c r="E546" s="8"/>
    </row>
    <row r="547" spans="2:5" x14ac:dyDescent="0.25">
      <c r="B547" s="99"/>
      <c r="C547" s="81"/>
      <c r="D547" s="3"/>
      <c r="E547" s="8"/>
    </row>
    <row r="548" spans="2:5" x14ac:dyDescent="0.25">
      <c r="B548" s="99"/>
      <c r="C548" s="81"/>
      <c r="D548" s="3"/>
      <c r="E548" s="8"/>
    </row>
    <row r="549" spans="2:5" x14ac:dyDescent="0.25">
      <c r="B549" s="99"/>
      <c r="C549" s="81"/>
      <c r="D549" s="3"/>
      <c r="E549" s="8"/>
    </row>
    <row r="550" spans="2:5" x14ac:dyDescent="0.25">
      <c r="B550" s="99"/>
      <c r="C550" s="81"/>
      <c r="D550" s="3"/>
      <c r="E550" s="8"/>
    </row>
    <row r="551" spans="2:5" x14ac:dyDescent="0.25">
      <c r="B551" s="99"/>
      <c r="C551" s="81"/>
      <c r="D551" s="3"/>
      <c r="E551" s="8"/>
    </row>
    <row r="552" spans="2:5" x14ac:dyDescent="0.25">
      <c r="B552" s="99"/>
      <c r="C552" s="81"/>
      <c r="D552" s="3"/>
      <c r="E552" s="8"/>
    </row>
    <row r="553" spans="2:5" x14ac:dyDescent="0.25">
      <c r="B553" s="99"/>
      <c r="C553" s="81"/>
      <c r="D553" s="3"/>
      <c r="E553" s="8"/>
    </row>
    <row r="554" spans="2:5" x14ac:dyDescent="0.25">
      <c r="B554" s="99"/>
      <c r="C554" s="81"/>
      <c r="D554" s="3"/>
      <c r="E554" s="8"/>
    </row>
    <row r="555" spans="2:5" x14ac:dyDescent="0.25">
      <c r="B555" s="99"/>
      <c r="C555" s="81"/>
      <c r="D555" s="3"/>
      <c r="E555" s="8"/>
    </row>
    <row r="556" spans="2:5" x14ac:dyDescent="0.25">
      <c r="B556" s="99"/>
      <c r="C556" s="81"/>
      <c r="D556" s="3"/>
      <c r="E556" s="8"/>
    </row>
    <row r="557" spans="2:5" x14ac:dyDescent="0.25">
      <c r="B557" s="99"/>
      <c r="C557" s="81"/>
      <c r="D557" s="3"/>
      <c r="E557" s="8"/>
    </row>
    <row r="558" spans="2:5" x14ac:dyDescent="0.25">
      <c r="B558" s="99"/>
      <c r="C558" s="81"/>
      <c r="D558" s="3"/>
      <c r="E558" s="8"/>
    </row>
    <row r="559" spans="2:5" x14ac:dyDescent="0.25">
      <c r="B559" s="99"/>
      <c r="C559" s="81"/>
      <c r="D559" s="3"/>
      <c r="E559" s="8"/>
    </row>
    <row r="560" spans="2:5" x14ac:dyDescent="0.25">
      <c r="B560" s="99"/>
      <c r="C560" s="81"/>
      <c r="D560" s="3"/>
      <c r="E560" s="8"/>
    </row>
    <row r="561" spans="2:5" x14ac:dyDescent="0.25">
      <c r="B561" s="99"/>
      <c r="C561" s="81"/>
      <c r="D561" s="3"/>
      <c r="E561" s="8"/>
    </row>
    <row r="562" spans="2:5" x14ac:dyDescent="0.25">
      <c r="B562" s="99"/>
      <c r="C562" s="81"/>
      <c r="D562" s="3"/>
      <c r="E562" s="8"/>
    </row>
    <row r="563" spans="2:5" x14ac:dyDescent="0.25">
      <c r="B563" s="99"/>
      <c r="C563" s="81"/>
      <c r="D563" s="3"/>
      <c r="E563" s="8"/>
    </row>
    <row r="564" spans="2:5" x14ac:dyDescent="0.25">
      <c r="B564" s="99"/>
      <c r="C564" s="81"/>
      <c r="D564" s="3"/>
      <c r="E564" s="8"/>
    </row>
    <row r="565" spans="2:5" x14ac:dyDescent="0.25">
      <c r="B565" s="99"/>
      <c r="C565" s="81"/>
      <c r="D565" s="3"/>
      <c r="E565" s="8"/>
    </row>
    <row r="566" spans="2:5" x14ac:dyDescent="0.25">
      <c r="B566" s="99"/>
      <c r="C566" s="81"/>
      <c r="D566" s="3"/>
      <c r="E566" s="8"/>
    </row>
    <row r="567" spans="2:5" x14ac:dyDescent="0.25">
      <c r="B567" s="99"/>
      <c r="C567" s="81"/>
      <c r="D567" s="3"/>
      <c r="E567" s="8"/>
    </row>
    <row r="568" spans="2:5" x14ac:dyDescent="0.25">
      <c r="B568" s="99"/>
      <c r="C568" s="81"/>
      <c r="D568" s="3"/>
      <c r="E568" s="8"/>
    </row>
    <row r="569" spans="2:5" x14ac:dyDescent="0.25">
      <c r="B569" s="99"/>
      <c r="C569" s="81"/>
      <c r="D569" s="3"/>
      <c r="E569" s="8"/>
    </row>
    <row r="570" spans="2:5" x14ac:dyDescent="0.25">
      <c r="B570" s="99"/>
      <c r="C570" s="81"/>
      <c r="D570" s="3"/>
      <c r="E570" s="8"/>
    </row>
    <row r="571" spans="2:5" x14ac:dyDescent="0.25">
      <c r="B571" s="99"/>
      <c r="C571" s="81"/>
      <c r="D571" s="3"/>
      <c r="E571" s="8"/>
    </row>
    <row r="572" spans="2:5" x14ac:dyDescent="0.25">
      <c r="B572" s="99"/>
      <c r="C572" s="81"/>
      <c r="D572" s="3"/>
      <c r="E572" s="8"/>
    </row>
    <row r="573" spans="2:5" x14ac:dyDescent="0.25">
      <c r="B573" s="99"/>
      <c r="C573" s="81"/>
      <c r="D573" s="3"/>
      <c r="E573" s="8"/>
    </row>
    <row r="574" spans="2:5" x14ac:dyDescent="0.25">
      <c r="B574" s="99"/>
      <c r="C574" s="81"/>
      <c r="D574" s="3"/>
      <c r="E574" s="8"/>
    </row>
    <row r="575" spans="2:5" x14ac:dyDescent="0.25">
      <c r="B575" s="99"/>
      <c r="C575" s="81"/>
      <c r="D575" s="3"/>
      <c r="E575" s="8"/>
    </row>
    <row r="576" spans="2:5" x14ac:dyDescent="0.25">
      <c r="B576" s="99"/>
      <c r="C576" s="81"/>
      <c r="D576" s="3"/>
      <c r="E576" s="8"/>
    </row>
    <row r="577" spans="2:5" x14ac:dyDescent="0.25">
      <c r="B577" s="99"/>
      <c r="C577" s="81"/>
      <c r="D577" s="3"/>
      <c r="E577" s="8"/>
    </row>
    <row r="578" spans="2:5" x14ac:dyDescent="0.25">
      <c r="B578" s="99"/>
      <c r="C578" s="81"/>
      <c r="D578" s="3"/>
      <c r="E578" s="8"/>
    </row>
    <row r="579" spans="2:5" x14ac:dyDescent="0.25">
      <c r="B579" s="99"/>
      <c r="C579" s="81"/>
      <c r="D579" s="3"/>
      <c r="E579" s="8"/>
    </row>
    <row r="580" spans="2:5" x14ac:dyDescent="0.25">
      <c r="B580" s="99"/>
      <c r="C580" s="81"/>
      <c r="D580" s="3"/>
      <c r="E580" s="8"/>
    </row>
    <row r="581" spans="2:5" x14ac:dyDescent="0.25">
      <c r="B581" s="99"/>
      <c r="C581" s="81"/>
      <c r="D581" s="3"/>
      <c r="E581" s="8"/>
    </row>
    <row r="582" spans="2:5" x14ac:dyDescent="0.25">
      <c r="B582" s="99"/>
      <c r="C582" s="81"/>
      <c r="D582" s="3"/>
      <c r="E582" s="8"/>
    </row>
    <row r="583" spans="2:5" x14ac:dyDescent="0.25">
      <c r="B583" s="99"/>
      <c r="C583" s="81"/>
      <c r="D583" s="3"/>
      <c r="E583" s="8"/>
    </row>
    <row r="584" spans="2:5" x14ac:dyDescent="0.25">
      <c r="B584" s="99"/>
      <c r="C584" s="81"/>
      <c r="D584" s="3"/>
      <c r="E584" s="8"/>
    </row>
    <row r="585" spans="2:5" x14ac:dyDescent="0.25">
      <c r="B585" s="99"/>
      <c r="C585" s="81"/>
      <c r="D585" s="3"/>
      <c r="E585" s="8"/>
    </row>
    <row r="586" spans="2:5" x14ac:dyDescent="0.25">
      <c r="B586" s="99"/>
      <c r="C586" s="81"/>
      <c r="D586" s="3"/>
      <c r="E586" s="8"/>
    </row>
    <row r="587" spans="2:5" x14ac:dyDescent="0.25">
      <c r="B587" s="99"/>
      <c r="C587" s="81"/>
      <c r="D587" s="3"/>
      <c r="E587" s="8"/>
    </row>
    <row r="588" spans="2:5" x14ac:dyDescent="0.25">
      <c r="B588" s="99"/>
      <c r="C588" s="81"/>
      <c r="D588" s="3"/>
      <c r="E588" s="8"/>
    </row>
    <row r="589" spans="2:5" x14ac:dyDescent="0.25">
      <c r="B589" s="99"/>
      <c r="C589" s="81"/>
      <c r="D589" s="3"/>
      <c r="E589" s="8"/>
    </row>
    <row r="590" spans="2:5" x14ac:dyDescent="0.25">
      <c r="B590" s="99"/>
      <c r="C590" s="81"/>
      <c r="D590" s="3"/>
      <c r="E590" s="8"/>
    </row>
    <row r="591" spans="2:5" x14ac:dyDescent="0.25">
      <c r="B591" s="99"/>
      <c r="C591" s="81"/>
      <c r="D591" s="3"/>
      <c r="E591" s="8"/>
    </row>
    <row r="592" spans="2:5" x14ac:dyDescent="0.25">
      <c r="B592" s="99"/>
      <c r="C592" s="81"/>
      <c r="D592" s="3"/>
      <c r="E592" s="8"/>
    </row>
    <row r="593" spans="2:5" x14ac:dyDescent="0.25">
      <c r="B593" s="99"/>
      <c r="C593" s="81"/>
      <c r="D593" s="3"/>
      <c r="E593" s="8"/>
    </row>
    <row r="594" spans="2:5" x14ac:dyDescent="0.25">
      <c r="B594" s="99"/>
      <c r="C594" s="81"/>
      <c r="D594" s="3"/>
      <c r="E594" s="8"/>
    </row>
    <row r="595" spans="2:5" x14ac:dyDescent="0.25">
      <c r="B595" s="99"/>
      <c r="C595" s="81"/>
      <c r="D595" s="3"/>
      <c r="E595" s="8"/>
    </row>
    <row r="596" spans="2:5" x14ac:dyDescent="0.25">
      <c r="B596" s="99"/>
      <c r="C596" s="81"/>
      <c r="D596" s="3"/>
      <c r="E596" s="8"/>
    </row>
    <row r="597" spans="2:5" x14ac:dyDescent="0.25">
      <c r="B597" s="99"/>
      <c r="C597" s="81"/>
      <c r="D597" s="3"/>
      <c r="E597" s="8"/>
    </row>
    <row r="598" spans="2:5" x14ac:dyDescent="0.25">
      <c r="B598" s="99"/>
      <c r="C598" s="81"/>
      <c r="D598" s="3"/>
      <c r="E598" s="8"/>
    </row>
    <row r="599" spans="2:5" x14ac:dyDescent="0.25">
      <c r="B599" s="99"/>
      <c r="C599" s="81"/>
      <c r="D599" s="3"/>
      <c r="E599" s="8"/>
    </row>
    <row r="600" spans="2:5" x14ac:dyDescent="0.25">
      <c r="B600" s="99"/>
      <c r="C600" s="81"/>
      <c r="D600" s="3"/>
      <c r="E600" s="8"/>
    </row>
    <row r="601" spans="2:5" x14ac:dyDescent="0.25">
      <c r="B601" s="99"/>
      <c r="C601" s="81"/>
      <c r="D601" s="3"/>
      <c r="E601" s="8"/>
    </row>
    <row r="602" spans="2:5" x14ac:dyDescent="0.25">
      <c r="B602" s="99"/>
      <c r="C602" s="81"/>
      <c r="D602" s="3"/>
      <c r="E602" s="8"/>
    </row>
    <row r="603" spans="2:5" x14ac:dyDescent="0.25">
      <c r="B603" s="99"/>
      <c r="C603" s="81"/>
      <c r="D603" s="3"/>
      <c r="E603" s="8"/>
    </row>
    <row r="604" spans="2:5" x14ac:dyDescent="0.25">
      <c r="B604" s="99"/>
      <c r="C604" s="81"/>
      <c r="D604" s="3"/>
      <c r="E604" s="8"/>
    </row>
    <row r="605" spans="2:5" x14ac:dyDescent="0.25">
      <c r="B605" s="99"/>
      <c r="C605" s="81"/>
      <c r="D605" s="3"/>
      <c r="E605" s="8"/>
    </row>
    <row r="606" spans="2:5" x14ac:dyDescent="0.25">
      <c r="B606" s="99"/>
      <c r="C606" s="81"/>
      <c r="D606" s="3"/>
      <c r="E606" s="8"/>
    </row>
    <row r="607" spans="2:5" x14ac:dyDescent="0.25">
      <c r="B607" s="99"/>
      <c r="C607" s="81"/>
      <c r="D607" s="3"/>
      <c r="E607" s="8"/>
    </row>
    <row r="608" spans="2:5" x14ac:dyDescent="0.25">
      <c r="B608" s="99"/>
      <c r="C608" s="81"/>
      <c r="D608" s="3"/>
      <c r="E608" s="8"/>
    </row>
    <row r="609" spans="2:5" x14ac:dyDescent="0.25">
      <c r="B609" s="99"/>
      <c r="C609" s="81"/>
      <c r="D609" s="3"/>
      <c r="E609" s="8"/>
    </row>
    <row r="610" spans="2:5" x14ac:dyDescent="0.25">
      <c r="B610" s="99"/>
      <c r="C610" s="81"/>
      <c r="D610" s="3"/>
      <c r="E610" s="8"/>
    </row>
    <row r="611" spans="2:5" x14ac:dyDescent="0.25">
      <c r="B611" s="99"/>
      <c r="C611" s="81"/>
      <c r="D611" s="3"/>
      <c r="E611" s="8"/>
    </row>
    <row r="612" spans="2:5" x14ac:dyDescent="0.25">
      <c r="B612" s="99"/>
      <c r="C612" s="81"/>
      <c r="D612" s="3"/>
      <c r="E612" s="8"/>
    </row>
    <row r="613" spans="2:5" x14ac:dyDescent="0.25">
      <c r="B613" s="99"/>
      <c r="C613" s="81"/>
      <c r="D613" s="3"/>
      <c r="E613" s="8"/>
    </row>
    <row r="614" spans="2:5" x14ac:dyDescent="0.25">
      <c r="B614" s="99"/>
      <c r="C614" s="81"/>
      <c r="D614" s="3"/>
      <c r="E614" s="8"/>
    </row>
    <row r="615" spans="2:5" x14ac:dyDescent="0.25">
      <c r="B615" s="99"/>
      <c r="C615" s="81"/>
      <c r="D615" s="3"/>
      <c r="E615" s="8"/>
    </row>
    <row r="616" spans="2:5" x14ac:dyDescent="0.25">
      <c r="B616" s="99"/>
      <c r="C616" s="81"/>
      <c r="D616" s="3"/>
      <c r="E616" s="8"/>
    </row>
    <row r="617" spans="2:5" x14ac:dyDescent="0.25">
      <c r="B617" s="99"/>
      <c r="C617" s="81"/>
      <c r="D617" s="3"/>
      <c r="E617" s="8"/>
    </row>
    <row r="618" spans="2:5" x14ac:dyDescent="0.25">
      <c r="B618" s="99"/>
      <c r="C618" s="81"/>
      <c r="D618" s="3"/>
      <c r="E618" s="8"/>
    </row>
    <row r="619" spans="2:5" x14ac:dyDescent="0.25">
      <c r="B619" s="99"/>
      <c r="C619" s="81"/>
      <c r="D619" s="3"/>
      <c r="E619" s="8"/>
    </row>
    <row r="620" spans="2:5" x14ac:dyDescent="0.25">
      <c r="B620" s="99"/>
      <c r="C620" s="81"/>
      <c r="D620" s="3"/>
      <c r="E620" s="8"/>
    </row>
    <row r="621" spans="2:5" x14ac:dyDescent="0.25">
      <c r="B621" s="99"/>
      <c r="C621" s="81"/>
      <c r="D621" s="3"/>
      <c r="E621" s="8"/>
    </row>
    <row r="622" spans="2:5" x14ac:dyDescent="0.25">
      <c r="B622" s="99"/>
      <c r="C622" s="81"/>
      <c r="D622" s="3"/>
      <c r="E622" s="8"/>
    </row>
    <row r="623" spans="2:5" x14ac:dyDescent="0.25">
      <c r="B623" s="99"/>
      <c r="C623" s="81"/>
      <c r="D623" s="3"/>
      <c r="E623" s="8"/>
    </row>
    <row r="624" spans="2:5" x14ac:dyDescent="0.25">
      <c r="B624" s="99"/>
      <c r="C624" s="81"/>
      <c r="D624" s="3"/>
      <c r="E624" s="8"/>
    </row>
    <row r="625" spans="2:5" x14ac:dyDescent="0.25">
      <c r="B625" s="99"/>
      <c r="C625" s="81"/>
      <c r="D625" s="3"/>
      <c r="E625" s="8"/>
    </row>
    <row r="626" spans="2:5" x14ac:dyDescent="0.25">
      <c r="B626" s="99"/>
      <c r="C626" s="81"/>
      <c r="D626" s="3"/>
      <c r="E626" s="8"/>
    </row>
    <row r="627" spans="2:5" x14ac:dyDescent="0.25">
      <c r="B627" s="99"/>
      <c r="C627" s="81"/>
      <c r="D627" s="3"/>
      <c r="E627" s="8"/>
    </row>
    <row r="628" spans="2:5" x14ac:dyDescent="0.25">
      <c r="B628" s="99"/>
      <c r="C628" s="81"/>
      <c r="D628" s="3"/>
      <c r="E628" s="8"/>
    </row>
    <row r="629" spans="2:5" x14ac:dyDescent="0.25">
      <c r="B629" s="99"/>
      <c r="C629" s="81"/>
      <c r="D629" s="3"/>
      <c r="E629" s="8"/>
    </row>
    <row r="630" spans="2:5" x14ac:dyDescent="0.25">
      <c r="B630" s="99"/>
      <c r="C630" s="81"/>
      <c r="D630" s="3"/>
      <c r="E630" s="8"/>
    </row>
    <row r="631" spans="2:5" x14ac:dyDescent="0.25">
      <c r="B631" s="99"/>
      <c r="C631" s="81"/>
      <c r="D631" s="3"/>
      <c r="E631" s="8"/>
    </row>
    <row r="632" spans="2:5" x14ac:dyDescent="0.25">
      <c r="B632" s="99"/>
      <c r="C632" s="81"/>
      <c r="D632" s="3"/>
      <c r="E632" s="8"/>
    </row>
    <row r="633" spans="2:5" x14ac:dyDescent="0.25">
      <c r="B633" s="99"/>
      <c r="C633" s="81"/>
      <c r="D633" s="3"/>
      <c r="E633" s="8"/>
    </row>
    <row r="634" spans="2:5" x14ac:dyDescent="0.25">
      <c r="B634" s="99"/>
      <c r="C634" s="81"/>
      <c r="D634" s="3"/>
      <c r="E634" s="8"/>
    </row>
    <row r="635" spans="2:5" x14ac:dyDescent="0.25">
      <c r="B635" s="99"/>
      <c r="C635" s="81"/>
      <c r="D635" s="3"/>
      <c r="E635" s="8"/>
    </row>
    <row r="636" spans="2:5" x14ac:dyDescent="0.25">
      <c r="B636" s="99"/>
      <c r="C636" s="81"/>
      <c r="D636" s="3"/>
      <c r="E636" s="8"/>
    </row>
    <row r="637" spans="2:5" x14ac:dyDescent="0.25">
      <c r="B637" s="99"/>
      <c r="C637" s="81"/>
      <c r="D637" s="3"/>
      <c r="E637" s="8"/>
    </row>
    <row r="638" spans="2:5" x14ac:dyDescent="0.25">
      <c r="B638" s="99"/>
      <c r="C638" s="81"/>
      <c r="D638" s="3"/>
      <c r="E638" s="8"/>
    </row>
    <row r="639" spans="2:5" x14ac:dyDescent="0.25">
      <c r="B639" s="99"/>
      <c r="C639" s="81"/>
      <c r="D639" s="3"/>
      <c r="E639" s="8"/>
    </row>
    <row r="640" spans="2:5" x14ac:dyDescent="0.25">
      <c r="B640" s="99"/>
      <c r="C640" s="81"/>
      <c r="D640" s="3"/>
      <c r="E640" s="8"/>
    </row>
    <row r="641" spans="2:5" x14ac:dyDescent="0.25">
      <c r="B641" s="99"/>
      <c r="C641" s="81"/>
      <c r="D641" s="3"/>
      <c r="E641" s="8"/>
    </row>
    <row r="642" spans="2:5" x14ac:dyDescent="0.25">
      <c r="B642" s="99"/>
      <c r="C642" s="81"/>
      <c r="D642" s="3"/>
      <c r="E642" s="8"/>
    </row>
    <row r="643" spans="2:5" x14ac:dyDescent="0.25">
      <c r="B643" s="99"/>
      <c r="C643" s="81"/>
      <c r="D643" s="3"/>
      <c r="E643" s="8"/>
    </row>
    <row r="644" spans="2:5" x14ac:dyDescent="0.25">
      <c r="B644" s="99"/>
      <c r="C644" s="81"/>
      <c r="D644" s="3"/>
      <c r="E644" s="8"/>
    </row>
    <row r="645" spans="2:5" x14ac:dyDescent="0.25">
      <c r="B645" s="99"/>
      <c r="C645" s="81"/>
      <c r="D645" s="3"/>
      <c r="E645" s="8"/>
    </row>
    <row r="646" spans="2:5" x14ac:dyDescent="0.25">
      <c r="B646" s="99"/>
      <c r="C646" s="81"/>
      <c r="D646" s="3"/>
      <c r="E646" s="8"/>
    </row>
    <row r="647" spans="2:5" x14ac:dyDescent="0.25">
      <c r="B647" s="99"/>
      <c r="C647" s="81"/>
      <c r="D647" s="3"/>
      <c r="E647" s="8"/>
    </row>
    <row r="648" spans="2:5" x14ac:dyDescent="0.25">
      <c r="B648" s="99"/>
      <c r="C648" s="81"/>
      <c r="D648" s="3"/>
      <c r="E648" s="8"/>
    </row>
    <row r="649" spans="2:5" x14ac:dyDescent="0.25">
      <c r="B649" s="99"/>
      <c r="C649" s="81"/>
      <c r="D649" s="3"/>
      <c r="E649" s="8"/>
    </row>
    <row r="650" spans="2:5" x14ac:dyDescent="0.25">
      <c r="B650" s="99"/>
      <c r="C650" s="81"/>
      <c r="D650" s="3"/>
      <c r="E650" s="8"/>
    </row>
    <row r="651" spans="2:5" x14ac:dyDescent="0.25">
      <c r="B651" s="99"/>
      <c r="C651" s="81"/>
      <c r="D651" s="3"/>
      <c r="E651" s="8"/>
    </row>
    <row r="652" spans="2:5" x14ac:dyDescent="0.25">
      <c r="B652" s="99"/>
      <c r="C652" s="81"/>
      <c r="D652" s="3"/>
      <c r="E652" s="8"/>
    </row>
    <row r="653" spans="2:5" x14ac:dyDescent="0.25">
      <c r="B653" s="99"/>
      <c r="C653" s="81"/>
      <c r="D653" s="3"/>
      <c r="E653" s="8"/>
    </row>
    <row r="654" spans="2:5" x14ac:dyDescent="0.25">
      <c r="B654" s="99"/>
      <c r="C654" s="81"/>
      <c r="D654" s="3"/>
      <c r="E654" s="8"/>
    </row>
    <row r="655" spans="2:5" x14ac:dyDescent="0.25">
      <c r="B655" s="99"/>
      <c r="C655" s="81"/>
      <c r="D655" s="3"/>
      <c r="E655" s="8"/>
    </row>
    <row r="656" spans="2:5" x14ac:dyDescent="0.25">
      <c r="B656" s="99"/>
      <c r="C656" s="81"/>
      <c r="D656" s="3"/>
      <c r="E656" s="8"/>
    </row>
    <row r="657" spans="2:5" x14ac:dyDescent="0.25">
      <c r="B657" s="99"/>
      <c r="C657" s="81"/>
      <c r="D657" s="3"/>
      <c r="E657" s="8"/>
    </row>
    <row r="658" spans="2:5" x14ac:dyDescent="0.25">
      <c r="B658" s="99"/>
      <c r="C658" s="81"/>
      <c r="D658" s="3"/>
      <c r="E658" s="8"/>
    </row>
    <row r="659" spans="2:5" x14ac:dyDescent="0.25">
      <c r="B659" s="99"/>
      <c r="C659" s="81"/>
      <c r="D659" s="3"/>
      <c r="E659" s="8"/>
    </row>
    <row r="660" spans="2:5" x14ac:dyDescent="0.25">
      <c r="B660" s="99"/>
      <c r="C660" s="81"/>
      <c r="D660" s="3"/>
      <c r="E660" s="8"/>
    </row>
    <row r="661" spans="2:5" x14ac:dyDescent="0.25">
      <c r="B661" s="99"/>
      <c r="C661" s="81"/>
      <c r="D661" s="3"/>
      <c r="E661" s="8"/>
    </row>
    <row r="662" spans="2:5" x14ac:dyDescent="0.25">
      <c r="B662" s="99"/>
      <c r="C662" s="81"/>
      <c r="D662" s="3"/>
      <c r="E662" s="8"/>
    </row>
    <row r="663" spans="2:5" x14ac:dyDescent="0.25">
      <c r="B663" s="99"/>
      <c r="C663" s="81"/>
      <c r="D663" s="3"/>
      <c r="E663" s="8"/>
    </row>
    <row r="664" spans="2:5" x14ac:dyDescent="0.25">
      <c r="B664" s="99"/>
      <c r="C664" s="81"/>
      <c r="D664" s="3"/>
      <c r="E664" s="8"/>
    </row>
    <row r="665" spans="2:5" x14ac:dyDescent="0.25">
      <c r="B665" s="99"/>
      <c r="C665" s="81"/>
      <c r="D665" s="3"/>
      <c r="E665" s="8"/>
    </row>
    <row r="666" spans="2:5" x14ac:dyDescent="0.25">
      <c r="B666" s="99"/>
      <c r="C666" s="81"/>
      <c r="D666" s="3"/>
      <c r="E666" s="8"/>
    </row>
    <row r="667" spans="2:5" x14ac:dyDescent="0.25">
      <c r="B667" s="99"/>
      <c r="C667" s="81"/>
      <c r="D667" s="3"/>
      <c r="E667" s="8"/>
    </row>
    <row r="668" spans="2:5" x14ac:dyDescent="0.25">
      <c r="B668" s="99"/>
      <c r="C668" s="81"/>
      <c r="D668" s="3"/>
      <c r="E668" s="8"/>
    </row>
    <row r="669" spans="2:5" x14ac:dyDescent="0.25">
      <c r="B669" s="99"/>
      <c r="C669" s="81"/>
      <c r="D669" s="3"/>
      <c r="E669" s="8"/>
    </row>
    <row r="670" spans="2:5" x14ac:dyDescent="0.25">
      <c r="B670" s="99"/>
      <c r="C670" s="81"/>
      <c r="D670" s="3"/>
      <c r="E670" s="8"/>
    </row>
    <row r="671" spans="2:5" x14ac:dyDescent="0.25">
      <c r="B671" s="99"/>
      <c r="C671" s="81"/>
      <c r="D671" s="3"/>
      <c r="E671" s="8"/>
    </row>
    <row r="672" spans="2:5" x14ac:dyDescent="0.25">
      <c r="B672" s="99"/>
      <c r="C672" s="81"/>
      <c r="D672" s="3"/>
      <c r="E672" s="8"/>
    </row>
    <row r="673" spans="2:5" x14ac:dyDescent="0.25">
      <c r="B673" s="99"/>
      <c r="C673" s="81"/>
      <c r="D673" s="3"/>
      <c r="E673" s="8"/>
    </row>
    <row r="674" spans="2:5" x14ac:dyDescent="0.25">
      <c r="B674" s="99"/>
      <c r="C674" s="81"/>
      <c r="D674" s="3"/>
      <c r="E674" s="8"/>
    </row>
    <row r="675" spans="2:5" x14ac:dyDescent="0.25">
      <c r="B675" s="99"/>
      <c r="C675" s="81"/>
      <c r="D675" s="3"/>
      <c r="E675" s="8"/>
    </row>
    <row r="676" spans="2:5" x14ac:dyDescent="0.25">
      <c r="B676" s="99"/>
      <c r="C676" s="81"/>
      <c r="D676" s="3"/>
      <c r="E676" s="8"/>
    </row>
    <row r="677" spans="2:5" x14ac:dyDescent="0.25">
      <c r="B677" s="99"/>
      <c r="C677" s="81"/>
      <c r="D677" s="3"/>
      <c r="E677" s="8"/>
    </row>
    <row r="678" spans="2:5" x14ac:dyDescent="0.25">
      <c r="B678" s="99"/>
      <c r="C678" s="81"/>
      <c r="D678" s="3"/>
      <c r="E678" s="8"/>
    </row>
    <row r="679" spans="2:5" x14ac:dyDescent="0.25">
      <c r="B679" s="99"/>
      <c r="C679" s="81"/>
      <c r="D679" s="3"/>
      <c r="E679" s="8"/>
    </row>
    <row r="680" spans="2:5" x14ac:dyDescent="0.25">
      <c r="B680" s="99"/>
      <c r="C680" s="81"/>
      <c r="D680" s="3"/>
      <c r="E680" s="8"/>
    </row>
    <row r="681" spans="2:5" x14ac:dyDescent="0.25">
      <c r="B681" s="99"/>
      <c r="C681" s="81"/>
      <c r="D681" s="3"/>
      <c r="E681" s="8"/>
    </row>
    <row r="682" spans="2:5" x14ac:dyDescent="0.25">
      <c r="B682" s="99"/>
      <c r="C682" s="81"/>
      <c r="D682" s="3"/>
      <c r="E682" s="8"/>
    </row>
    <row r="683" spans="2:5" x14ac:dyDescent="0.25">
      <c r="B683" s="99"/>
      <c r="C683" s="81"/>
      <c r="D683" s="3"/>
      <c r="E683" s="8"/>
    </row>
    <row r="684" spans="2:5" x14ac:dyDescent="0.25">
      <c r="B684" s="99"/>
      <c r="C684" s="81"/>
      <c r="D684" s="3"/>
      <c r="E684" s="8"/>
    </row>
    <row r="685" spans="2:5" x14ac:dyDescent="0.25">
      <c r="B685" s="99"/>
      <c r="C685" s="81"/>
      <c r="D685" s="3"/>
      <c r="E685" s="8"/>
    </row>
    <row r="686" spans="2:5" x14ac:dyDescent="0.25">
      <c r="B686" s="99"/>
      <c r="C686" s="81"/>
      <c r="D686" s="3"/>
      <c r="E686" s="8"/>
    </row>
    <row r="687" spans="2:5" x14ac:dyDescent="0.25">
      <c r="B687" s="99"/>
      <c r="C687" s="81"/>
      <c r="D687" s="3"/>
      <c r="E687" s="8"/>
    </row>
    <row r="688" spans="2:5" x14ac:dyDescent="0.25">
      <c r="B688" s="99"/>
      <c r="C688" s="81"/>
      <c r="D688" s="3"/>
      <c r="E688" s="8"/>
    </row>
    <row r="689" spans="2:5" x14ac:dyDescent="0.25">
      <c r="B689" s="99"/>
      <c r="C689" s="81"/>
      <c r="D689" s="3"/>
      <c r="E689" s="8"/>
    </row>
    <row r="690" spans="2:5" x14ac:dyDescent="0.25">
      <c r="B690" s="99"/>
      <c r="C690" s="81"/>
      <c r="D690" s="3"/>
      <c r="E690" s="8"/>
    </row>
    <row r="691" spans="2:5" x14ac:dyDescent="0.25">
      <c r="B691" s="99"/>
      <c r="C691" s="81"/>
      <c r="D691" s="3"/>
      <c r="E691" s="8"/>
    </row>
    <row r="692" spans="2:5" x14ac:dyDescent="0.25">
      <c r="B692" s="99"/>
      <c r="C692" s="81"/>
      <c r="D692" s="3"/>
      <c r="E692" s="8"/>
    </row>
    <row r="693" spans="2:5" x14ac:dyDescent="0.25">
      <c r="B693" s="99"/>
      <c r="C693" s="81"/>
      <c r="D693" s="3"/>
      <c r="E693" s="8"/>
    </row>
    <row r="694" spans="2:5" x14ac:dyDescent="0.25">
      <c r="B694" s="99"/>
      <c r="C694" s="81"/>
      <c r="D694" s="3"/>
      <c r="E694" s="8"/>
    </row>
    <row r="695" spans="2:5" x14ac:dyDescent="0.25">
      <c r="B695" s="99"/>
      <c r="C695" s="81"/>
      <c r="D695" s="3"/>
      <c r="E695" s="8"/>
    </row>
    <row r="696" spans="2:5" x14ac:dyDescent="0.25">
      <c r="B696" s="99"/>
      <c r="C696" s="81"/>
      <c r="D696" s="3"/>
      <c r="E696" s="8"/>
    </row>
    <row r="697" spans="2:5" x14ac:dyDescent="0.25">
      <c r="B697" s="99"/>
      <c r="C697" s="81"/>
      <c r="D697" s="3"/>
      <c r="E697" s="8"/>
    </row>
    <row r="698" spans="2:5" x14ac:dyDescent="0.25">
      <c r="B698" s="99"/>
      <c r="C698" s="81"/>
      <c r="D698" s="3"/>
      <c r="E698" s="8"/>
    </row>
    <row r="699" spans="2:5" x14ac:dyDescent="0.25">
      <c r="B699" s="99"/>
      <c r="C699" s="81"/>
      <c r="D699" s="3"/>
      <c r="E699" s="8"/>
    </row>
    <row r="700" spans="2:5" x14ac:dyDescent="0.25">
      <c r="B700" s="99"/>
      <c r="C700" s="81"/>
      <c r="D700" s="3"/>
      <c r="E700" s="8"/>
    </row>
    <row r="701" spans="2:5" x14ac:dyDescent="0.25">
      <c r="B701" s="99"/>
      <c r="C701" s="81"/>
      <c r="D701" s="3"/>
      <c r="E701" s="8"/>
    </row>
    <row r="702" spans="2:5" x14ac:dyDescent="0.25">
      <c r="B702" s="99"/>
      <c r="C702" s="81"/>
      <c r="D702" s="3"/>
      <c r="E702" s="8"/>
    </row>
    <row r="703" spans="2:5" x14ac:dyDescent="0.25">
      <c r="B703" s="99"/>
      <c r="C703" s="81"/>
      <c r="D703" s="3"/>
      <c r="E703" s="8"/>
    </row>
    <row r="704" spans="2:5" x14ac:dyDescent="0.25">
      <c r="B704" s="99"/>
      <c r="C704" s="81"/>
      <c r="D704" s="3"/>
      <c r="E704" s="8"/>
    </row>
    <row r="705" spans="2:5" x14ac:dyDescent="0.25">
      <c r="B705" s="99"/>
      <c r="C705" s="81"/>
      <c r="D705" s="3"/>
      <c r="E705" s="8"/>
    </row>
    <row r="706" spans="2:5" x14ac:dyDescent="0.25">
      <c r="B706" s="99"/>
      <c r="C706" s="81"/>
      <c r="D706" s="3"/>
      <c r="E706" s="8"/>
    </row>
    <row r="707" spans="2:5" x14ac:dyDescent="0.25">
      <c r="B707" s="99"/>
      <c r="C707" s="81"/>
      <c r="D707" s="3"/>
      <c r="E707" s="8"/>
    </row>
    <row r="708" spans="2:5" x14ac:dyDescent="0.25">
      <c r="B708" s="99"/>
      <c r="C708" s="81"/>
      <c r="D708" s="3"/>
      <c r="E708" s="8"/>
    </row>
    <row r="709" spans="2:5" x14ac:dyDescent="0.25">
      <c r="B709" s="99"/>
      <c r="C709" s="81"/>
      <c r="D709" s="3"/>
      <c r="E709" s="8"/>
    </row>
    <row r="710" spans="2:5" x14ac:dyDescent="0.25">
      <c r="B710" s="99"/>
      <c r="C710" s="81"/>
      <c r="D710" s="3"/>
      <c r="E710" s="8"/>
    </row>
    <row r="711" spans="2:5" x14ac:dyDescent="0.25">
      <c r="B711" s="99"/>
      <c r="C711" s="81"/>
      <c r="D711" s="3"/>
      <c r="E711" s="8"/>
    </row>
    <row r="712" spans="2:5" x14ac:dyDescent="0.25">
      <c r="B712" s="99"/>
      <c r="C712" s="81"/>
      <c r="D712" s="3"/>
      <c r="E712" s="8"/>
    </row>
    <row r="713" spans="2:5" x14ac:dyDescent="0.25">
      <c r="B713" s="99"/>
      <c r="C713" s="81"/>
      <c r="D713" s="3"/>
      <c r="E713" s="8"/>
    </row>
    <row r="714" spans="2:5" x14ac:dyDescent="0.25">
      <c r="B714" s="99"/>
      <c r="C714" s="81"/>
      <c r="D714" s="3"/>
      <c r="E714" s="8"/>
    </row>
    <row r="715" spans="2:5" x14ac:dyDescent="0.25">
      <c r="B715" s="99"/>
      <c r="C715" s="81"/>
      <c r="D715" s="3"/>
      <c r="E715" s="8"/>
    </row>
    <row r="716" spans="2:5" x14ac:dyDescent="0.25">
      <c r="B716" s="99"/>
      <c r="C716" s="81"/>
      <c r="D716" s="3"/>
      <c r="E716" s="8"/>
    </row>
    <row r="717" spans="2:5" x14ac:dyDescent="0.25">
      <c r="B717" s="99"/>
      <c r="C717" s="81"/>
      <c r="D717" s="3"/>
      <c r="E717" s="8"/>
    </row>
    <row r="718" spans="2:5" x14ac:dyDescent="0.25">
      <c r="B718" s="99"/>
      <c r="C718" s="81"/>
      <c r="D718" s="3"/>
      <c r="E718" s="8"/>
    </row>
    <row r="719" spans="2:5" x14ac:dyDescent="0.25">
      <c r="B719" s="99"/>
      <c r="C719" s="81"/>
      <c r="D719" s="3"/>
      <c r="E719" s="8"/>
    </row>
    <row r="720" spans="2:5" x14ac:dyDescent="0.25">
      <c r="B720" s="99"/>
      <c r="C720" s="81"/>
      <c r="D720" s="3"/>
      <c r="E720" s="8"/>
    </row>
    <row r="721" spans="2:5" x14ac:dyDescent="0.25">
      <c r="B721" s="99"/>
      <c r="C721" s="81"/>
      <c r="D721" s="3"/>
      <c r="E721" s="8"/>
    </row>
    <row r="722" spans="2:5" x14ac:dyDescent="0.25">
      <c r="B722" s="99"/>
      <c r="C722" s="81"/>
      <c r="D722" s="3"/>
      <c r="E722" s="8"/>
    </row>
    <row r="723" spans="2:5" x14ac:dyDescent="0.25">
      <c r="B723" s="99"/>
      <c r="C723" s="81"/>
      <c r="D723" s="3"/>
      <c r="E723" s="8"/>
    </row>
    <row r="724" spans="2:5" x14ac:dyDescent="0.25">
      <c r="B724" s="99"/>
      <c r="C724" s="81"/>
      <c r="D724" s="3"/>
      <c r="E724" s="8"/>
    </row>
    <row r="725" spans="2:5" x14ac:dyDescent="0.25">
      <c r="B725" s="99"/>
      <c r="C725" s="81"/>
      <c r="D725" s="3"/>
      <c r="E725" s="8"/>
    </row>
    <row r="726" spans="2:5" x14ac:dyDescent="0.25">
      <c r="B726" s="99"/>
      <c r="C726" s="81"/>
      <c r="D726" s="3"/>
      <c r="E726" s="8"/>
    </row>
    <row r="727" spans="2:5" x14ac:dyDescent="0.25">
      <c r="B727" s="99"/>
      <c r="C727" s="81"/>
      <c r="D727" s="3"/>
      <c r="E727" s="8"/>
    </row>
    <row r="728" spans="2:5" x14ac:dyDescent="0.25">
      <c r="B728" s="99"/>
      <c r="C728" s="81"/>
      <c r="D728" s="3"/>
      <c r="E728" s="8"/>
    </row>
    <row r="729" spans="2:5" x14ac:dyDescent="0.25">
      <c r="B729" s="99"/>
      <c r="C729" s="81"/>
      <c r="D729" s="3"/>
      <c r="E729" s="8"/>
    </row>
    <row r="730" spans="2:5" x14ac:dyDescent="0.25">
      <c r="B730" s="99"/>
      <c r="C730" s="81"/>
      <c r="D730" s="3"/>
      <c r="E730" s="8"/>
    </row>
    <row r="731" spans="2:5" x14ac:dyDescent="0.25">
      <c r="B731" s="99"/>
      <c r="C731" s="81"/>
      <c r="D731" s="3"/>
      <c r="E731" s="8"/>
    </row>
    <row r="732" spans="2:5" x14ac:dyDescent="0.25">
      <c r="B732" s="99"/>
      <c r="C732" s="81"/>
      <c r="D732" s="3"/>
      <c r="E732" s="8"/>
    </row>
    <row r="733" spans="2:5" x14ac:dyDescent="0.25">
      <c r="B733" s="99"/>
      <c r="C733" s="81"/>
      <c r="D733" s="3"/>
      <c r="E733" s="8"/>
    </row>
    <row r="734" spans="2:5" x14ac:dyDescent="0.25">
      <c r="B734" s="99"/>
      <c r="C734" s="81"/>
      <c r="D734" s="3"/>
      <c r="E734" s="8"/>
    </row>
    <row r="735" spans="2:5" x14ac:dyDescent="0.25">
      <c r="B735" s="99"/>
      <c r="C735" s="81"/>
      <c r="D735" s="3"/>
      <c r="E735" s="8"/>
    </row>
    <row r="736" spans="2:5" x14ac:dyDescent="0.25">
      <c r="B736" s="99"/>
      <c r="C736" s="81"/>
      <c r="D736" s="3"/>
      <c r="E736" s="8"/>
    </row>
    <row r="737" spans="2:5" x14ac:dyDescent="0.25">
      <c r="B737" s="99"/>
      <c r="C737" s="81"/>
      <c r="D737" s="3"/>
      <c r="E737" s="8"/>
    </row>
    <row r="738" spans="2:5" x14ac:dyDescent="0.25">
      <c r="B738" s="99"/>
      <c r="C738" s="81"/>
      <c r="D738" s="3"/>
      <c r="E738" s="8"/>
    </row>
    <row r="739" spans="2:5" x14ac:dyDescent="0.25">
      <c r="B739" s="99"/>
      <c r="C739" s="81"/>
      <c r="D739" s="3"/>
      <c r="E739" s="8"/>
    </row>
    <row r="740" spans="2:5" x14ac:dyDescent="0.25">
      <c r="B740" s="99"/>
      <c r="C740" s="81"/>
      <c r="D740" s="3"/>
      <c r="E740" s="8"/>
    </row>
    <row r="741" spans="2:5" x14ac:dyDescent="0.25">
      <c r="B741" s="99"/>
      <c r="C741" s="81"/>
      <c r="D741" s="3"/>
      <c r="E741" s="8"/>
    </row>
    <row r="742" spans="2:5" x14ac:dyDescent="0.25">
      <c r="B742" s="99"/>
      <c r="C742" s="81"/>
      <c r="D742" s="3"/>
      <c r="E742" s="8"/>
    </row>
    <row r="743" spans="2:5" x14ac:dyDescent="0.25">
      <c r="B743" s="99"/>
      <c r="C743" s="81"/>
      <c r="D743" s="3"/>
      <c r="E743" s="8"/>
    </row>
    <row r="744" spans="2:5" x14ac:dyDescent="0.25">
      <c r="B744" s="99"/>
      <c r="C744" s="81"/>
      <c r="D744" s="3"/>
      <c r="E744" s="8"/>
    </row>
    <row r="745" spans="2:5" x14ac:dyDescent="0.25">
      <c r="B745" s="99"/>
      <c r="C745" s="81"/>
      <c r="D745" s="3"/>
      <c r="E745" s="8"/>
    </row>
    <row r="746" spans="2:5" x14ac:dyDescent="0.25">
      <c r="B746" s="99"/>
      <c r="C746" s="81"/>
      <c r="D746" s="3"/>
      <c r="E746" s="8"/>
    </row>
    <row r="747" spans="2:5" x14ac:dyDescent="0.25">
      <c r="B747" s="99"/>
      <c r="C747" s="81"/>
      <c r="D747" s="3"/>
      <c r="E747" s="8"/>
    </row>
    <row r="748" spans="2:5" x14ac:dyDescent="0.25">
      <c r="B748" s="99"/>
      <c r="C748" s="81"/>
      <c r="D748" s="3"/>
      <c r="E748" s="8"/>
    </row>
    <row r="749" spans="2:5" x14ac:dyDescent="0.25">
      <c r="B749" s="99"/>
      <c r="C749" s="81"/>
      <c r="D749" s="3"/>
      <c r="E749" s="8"/>
    </row>
    <row r="750" spans="2:5" x14ac:dyDescent="0.25">
      <c r="B750" s="99"/>
      <c r="C750" s="81"/>
      <c r="D750" s="3"/>
      <c r="E750" s="8"/>
    </row>
    <row r="751" spans="2:5" x14ac:dyDescent="0.25">
      <c r="B751" s="99"/>
      <c r="C751" s="81"/>
      <c r="D751" s="3"/>
      <c r="E751" s="8"/>
    </row>
    <row r="752" spans="2:5" x14ac:dyDescent="0.25">
      <c r="B752" s="99"/>
      <c r="C752" s="81"/>
      <c r="D752" s="3"/>
      <c r="E752" s="8"/>
    </row>
    <row r="753" spans="2:5" x14ac:dyDescent="0.25">
      <c r="B753" s="99"/>
      <c r="C753" s="81"/>
      <c r="D753" s="3"/>
      <c r="E753" s="8"/>
    </row>
    <row r="754" spans="2:5" x14ac:dyDescent="0.25">
      <c r="B754" s="99"/>
      <c r="C754" s="81"/>
      <c r="D754" s="3"/>
      <c r="E754" s="8"/>
    </row>
    <row r="755" spans="2:5" x14ac:dyDescent="0.25">
      <c r="B755" s="99"/>
      <c r="C755" s="81"/>
      <c r="D755" s="3"/>
      <c r="E755" s="8"/>
    </row>
    <row r="756" spans="2:5" x14ac:dyDescent="0.25">
      <c r="B756" s="99"/>
      <c r="C756" s="81"/>
      <c r="D756" s="3"/>
      <c r="E756" s="8"/>
    </row>
    <row r="757" spans="2:5" x14ac:dyDescent="0.25">
      <c r="B757" s="99"/>
      <c r="C757" s="81"/>
      <c r="D757" s="3"/>
      <c r="E757" s="8"/>
    </row>
    <row r="758" spans="2:5" x14ac:dyDescent="0.25">
      <c r="B758" s="99"/>
      <c r="C758" s="81"/>
      <c r="D758" s="3"/>
      <c r="E758" s="8"/>
    </row>
    <row r="759" spans="2:5" x14ac:dyDescent="0.25">
      <c r="B759" s="99"/>
      <c r="C759" s="81"/>
      <c r="D759" s="3"/>
      <c r="E759" s="8"/>
    </row>
    <row r="760" spans="2:5" x14ac:dyDescent="0.25">
      <c r="B760" s="99"/>
      <c r="C760" s="81"/>
      <c r="D760" s="3"/>
      <c r="E760" s="8"/>
    </row>
    <row r="761" spans="2:5" x14ac:dyDescent="0.25">
      <c r="B761" s="99"/>
      <c r="C761" s="81"/>
      <c r="D761" s="3"/>
      <c r="E761" s="8"/>
    </row>
    <row r="762" spans="2:5" x14ac:dyDescent="0.25">
      <c r="B762" s="99"/>
      <c r="C762" s="81"/>
      <c r="D762" s="3"/>
      <c r="E762" s="8"/>
    </row>
    <row r="763" spans="2:5" x14ac:dyDescent="0.25">
      <c r="B763" s="99"/>
      <c r="C763" s="81"/>
      <c r="D763" s="3"/>
      <c r="E763" s="8"/>
    </row>
    <row r="764" spans="2:5" x14ac:dyDescent="0.25">
      <c r="B764" s="99"/>
      <c r="C764" s="81"/>
      <c r="D764" s="3"/>
      <c r="E764" s="8"/>
    </row>
    <row r="765" spans="2:5" x14ac:dyDescent="0.25">
      <c r="B765" s="99"/>
      <c r="C765" s="81"/>
      <c r="D765" s="3"/>
      <c r="E765" s="8"/>
    </row>
    <row r="766" spans="2:5" x14ac:dyDescent="0.25">
      <c r="B766" s="99"/>
      <c r="C766" s="81"/>
      <c r="D766" s="3"/>
      <c r="E766" s="8"/>
    </row>
    <row r="767" spans="2:5" x14ac:dyDescent="0.25">
      <c r="B767" s="99"/>
      <c r="C767" s="81"/>
      <c r="D767" s="3"/>
      <c r="E767" s="8"/>
    </row>
    <row r="768" spans="2:5" x14ac:dyDescent="0.25">
      <c r="B768" s="99"/>
      <c r="C768" s="81"/>
      <c r="D768" s="3"/>
      <c r="E768" s="8"/>
    </row>
    <row r="769" spans="2:5" x14ac:dyDescent="0.25">
      <c r="B769" s="99"/>
      <c r="C769" s="81"/>
      <c r="D769" s="3"/>
      <c r="E769" s="8"/>
    </row>
    <row r="770" spans="2:5" x14ac:dyDescent="0.25">
      <c r="B770" s="99"/>
      <c r="C770" s="81"/>
      <c r="D770" s="3"/>
      <c r="E770" s="8"/>
    </row>
    <row r="771" spans="2:5" x14ac:dyDescent="0.25">
      <c r="B771" s="99"/>
      <c r="C771" s="81"/>
      <c r="D771" s="3"/>
      <c r="E771" s="8"/>
    </row>
    <row r="772" spans="2:5" x14ac:dyDescent="0.25">
      <c r="B772" s="99"/>
      <c r="C772" s="81"/>
      <c r="D772" s="3"/>
      <c r="E772" s="8"/>
    </row>
    <row r="773" spans="2:5" x14ac:dyDescent="0.25">
      <c r="B773" s="99"/>
      <c r="C773" s="81"/>
      <c r="D773" s="3"/>
      <c r="E773" s="8"/>
    </row>
    <row r="774" spans="2:5" x14ac:dyDescent="0.25">
      <c r="B774" s="99"/>
      <c r="C774" s="81"/>
      <c r="D774" s="3"/>
      <c r="E774" s="8"/>
    </row>
    <row r="775" spans="2:5" x14ac:dyDescent="0.25">
      <c r="B775" s="99"/>
      <c r="C775" s="81"/>
      <c r="D775" s="3"/>
      <c r="E775" s="8"/>
    </row>
    <row r="776" spans="2:5" x14ac:dyDescent="0.25">
      <c r="B776" s="99"/>
      <c r="C776" s="81"/>
      <c r="D776" s="3"/>
      <c r="E776" s="8"/>
    </row>
    <row r="777" spans="2:5" x14ac:dyDescent="0.25">
      <c r="B777" s="99"/>
      <c r="C777" s="81"/>
      <c r="D777" s="3"/>
      <c r="E777" s="8"/>
    </row>
    <row r="778" spans="2:5" x14ac:dyDescent="0.25">
      <c r="B778" s="99"/>
      <c r="C778" s="81"/>
      <c r="D778" s="3"/>
      <c r="E778" s="8"/>
    </row>
    <row r="779" spans="2:5" x14ac:dyDescent="0.25">
      <c r="B779" s="99"/>
      <c r="C779" s="81"/>
      <c r="D779" s="3"/>
      <c r="E779" s="8"/>
    </row>
    <row r="780" spans="2:5" x14ac:dyDescent="0.25">
      <c r="B780" s="99"/>
      <c r="C780" s="81"/>
      <c r="D780" s="3"/>
      <c r="E780" s="8"/>
    </row>
    <row r="781" spans="2:5" x14ac:dyDescent="0.25">
      <c r="B781" s="99"/>
      <c r="C781" s="81"/>
      <c r="D781" s="3"/>
      <c r="E781" s="8"/>
    </row>
    <row r="782" spans="2:5" x14ac:dyDescent="0.25">
      <c r="B782" s="99"/>
      <c r="C782" s="81"/>
      <c r="D782" s="3"/>
      <c r="E782" s="8"/>
    </row>
    <row r="783" spans="2:5" x14ac:dyDescent="0.25">
      <c r="B783" s="99"/>
      <c r="C783" s="81"/>
      <c r="D783" s="3"/>
      <c r="E783" s="8"/>
    </row>
    <row r="784" spans="2:5" x14ac:dyDescent="0.25">
      <c r="B784" s="99"/>
      <c r="C784" s="81"/>
      <c r="D784" s="3"/>
      <c r="E784" s="8"/>
    </row>
    <row r="785" spans="2:5" x14ac:dyDescent="0.25">
      <c r="B785" s="99"/>
      <c r="C785" s="81"/>
      <c r="D785" s="3"/>
      <c r="E785" s="8"/>
    </row>
    <row r="786" spans="2:5" x14ac:dyDescent="0.25">
      <c r="B786" s="99"/>
      <c r="C786" s="81"/>
      <c r="D786" s="3"/>
      <c r="E786" s="8"/>
    </row>
    <row r="787" spans="2:5" x14ac:dyDescent="0.25">
      <c r="B787" s="99"/>
      <c r="C787" s="81"/>
      <c r="D787" s="3"/>
      <c r="E787" s="8"/>
    </row>
    <row r="788" spans="2:5" x14ac:dyDescent="0.25">
      <c r="B788" s="99"/>
      <c r="C788" s="81"/>
      <c r="D788" s="3"/>
      <c r="E788" s="8"/>
    </row>
    <row r="789" spans="2:5" x14ac:dyDescent="0.25">
      <c r="B789" s="99"/>
      <c r="C789" s="81"/>
      <c r="D789" s="3"/>
      <c r="E789" s="8"/>
    </row>
    <row r="790" spans="2:5" x14ac:dyDescent="0.25">
      <c r="B790" s="99"/>
      <c r="C790" s="81"/>
      <c r="D790" s="3"/>
      <c r="E790" s="8"/>
    </row>
    <row r="791" spans="2:5" x14ac:dyDescent="0.25">
      <c r="B791" s="99"/>
      <c r="C791" s="81"/>
      <c r="D791" s="3"/>
      <c r="E791" s="8"/>
    </row>
    <row r="792" spans="2:5" x14ac:dyDescent="0.25">
      <c r="B792" s="99"/>
      <c r="C792" s="81"/>
      <c r="D792" s="3"/>
      <c r="E792" s="8"/>
    </row>
    <row r="793" spans="2:5" x14ac:dyDescent="0.25">
      <c r="B793" s="99"/>
      <c r="C793" s="81"/>
      <c r="D793" s="3"/>
      <c r="E793" s="8"/>
    </row>
    <row r="794" spans="2:5" x14ac:dyDescent="0.25">
      <c r="B794" s="99"/>
      <c r="C794" s="81"/>
      <c r="D794" s="3"/>
      <c r="E794" s="8"/>
    </row>
    <row r="795" spans="2:5" x14ac:dyDescent="0.25">
      <c r="B795" s="99"/>
      <c r="C795" s="81"/>
      <c r="D795" s="3"/>
      <c r="E795" s="8"/>
    </row>
    <row r="796" spans="2:5" x14ac:dyDescent="0.25">
      <c r="B796" s="99"/>
      <c r="C796" s="81"/>
      <c r="D796" s="3"/>
      <c r="E796" s="8"/>
    </row>
    <row r="797" spans="2:5" x14ac:dyDescent="0.25">
      <c r="B797" s="99"/>
      <c r="C797" s="81"/>
      <c r="D797" s="3"/>
      <c r="E797" s="8"/>
    </row>
    <row r="798" spans="2:5" x14ac:dyDescent="0.25">
      <c r="B798" s="99"/>
      <c r="C798" s="81"/>
      <c r="D798" s="3"/>
      <c r="E798" s="8"/>
    </row>
    <row r="799" spans="2:5" x14ac:dyDescent="0.25">
      <c r="B799" s="99"/>
      <c r="C799" s="81"/>
      <c r="D799" s="3"/>
      <c r="E799" s="8"/>
    </row>
    <row r="800" spans="2:5" x14ac:dyDescent="0.25">
      <c r="B800" s="99"/>
      <c r="C800" s="81"/>
      <c r="D800" s="3"/>
      <c r="E800" s="8"/>
    </row>
    <row r="801" spans="2:5" x14ac:dyDescent="0.25">
      <c r="B801" s="99"/>
      <c r="C801" s="81"/>
      <c r="D801" s="3"/>
      <c r="E801" s="8"/>
    </row>
    <row r="802" spans="2:5" x14ac:dyDescent="0.25">
      <c r="B802" s="99"/>
      <c r="C802" s="81"/>
      <c r="D802" s="3"/>
      <c r="E802" s="8"/>
    </row>
    <row r="803" spans="2:5" x14ac:dyDescent="0.25">
      <c r="B803" s="99"/>
      <c r="C803" s="81"/>
      <c r="D803" s="3"/>
      <c r="E803" s="8"/>
    </row>
    <row r="804" spans="2:5" x14ac:dyDescent="0.25">
      <c r="B804" s="99"/>
      <c r="C804" s="81"/>
      <c r="D804" s="3"/>
      <c r="E804" s="8"/>
    </row>
    <row r="805" spans="2:5" x14ac:dyDescent="0.25">
      <c r="B805" s="99"/>
      <c r="C805" s="81"/>
      <c r="D805" s="3"/>
      <c r="E805" s="8"/>
    </row>
    <row r="806" spans="2:5" x14ac:dyDescent="0.25">
      <c r="B806" s="99"/>
      <c r="C806" s="81"/>
      <c r="D806" s="3"/>
      <c r="E806" s="8"/>
    </row>
    <row r="807" spans="2:5" x14ac:dyDescent="0.25">
      <c r="B807" s="99"/>
      <c r="C807" s="81"/>
      <c r="D807" s="3"/>
      <c r="E807" s="8"/>
    </row>
    <row r="808" spans="2:5" x14ac:dyDescent="0.25">
      <c r="B808" s="99"/>
      <c r="C808" s="81"/>
      <c r="D808" s="3"/>
      <c r="E808" s="8"/>
    </row>
    <row r="809" spans="2:5" x14ac:dyDescent="0.25">
      <c r="B809" s="99"/>
      <c r="C809" s="81"/>
      <c r="D809" s="3"/>
      <c r="E809" s="8"/>
    </row>
    <row r="810" spans="2:5" x14ac:dyDescent="0.25">
      <c r="B810" s="99"/>
      <c r="C810" s="81"/>
      <c r="D810" s="3"/>
      <c r="E810" s="8"/>
    </row>
    <row r="811" spans="2:5" x14ac:dyDescent="0.25">
      <c r="B811" s="99"/>
      <c r="C811" s="81"/>
      <c r="D811" s="3"/>
      <c r="E811" s="8"/>
    </row>
    <row r="812" spans="2:5" x14ac:dyDescent="0.25">
      <c r="B812" s="99"/>
      <c r="C812" s="81"/>
      <c r="D812" s="3"/>
      <c r="E812" s="8"/>
    </row>
    <row r="813" spans="2:5" x14ac:dyDescent="0.25">
      <c r="B813" s="99"/>
      <c r="C813" s="81"/>
      <c r="D813" s="3"/>
      <c r="E813" s="8"/>
    </row>
    <row r="814" spans="2:5" x14ac:dyDescent="0.25">
      <c r="B814" s="99"/>
      <c r="C814" s="81"/>
      <c r="D814" s="3"/>
      <c r="E814" s="8"/>
    </row>
    <row r="815" spans="2:5" x14ac:dyDescent="0.25">
      <c r="B815" s="99"/>
      <c r="C815" s="81"/>
      <c r="D815" s="3"/>
      <c r="E815" s="8"/>
    </row>
    <row r="816" spans="2:5" x14ac:dyDescent="0.25">
      <c r="B816" s="99"/>
      <c r="C816" s="81"/>
      <c r="D816" s="3"/>
      <c r="E816" s="8"/>
    </row>
    <row r="817" spans="2:5" x14ac:dyDescent="0.25">
      <c r="B817" s="99"/>
      <c r="C817" s="81"/>
      <c r="D817" s="3"/>
      <c r="E817" s="8"/>
    </row>
    <row r="818" spans="2:5" x14ac:dyDescent="0.25">
      <c r="B818" s="99"/>
      <c r="C818" s="81"/>
      <c r="D818" s="3"/>
      <c r="E818" s="8"/>
    </row>
    <row r="819" spans="2:5" x14ac:dyDescent="0.25">
      <c r="B819" s="99"/>
      <c r="C819" s="81"/>
      <c r="D819" s="3"/>
      <c r="E819" s="8"/>
    </row>
    <row r="820" spans="2:5" x14ac:dyDescent="0.25">
      <c r="B820" s="99"/>
      <c r="C820" s="81"/>
      <c r="D820" s="3"/>
      <c r="E820" s="8"/>
    </row>
    <row r="821" spans="2:5" x14ac:dyDescent="0.25">
      <c r="B821" s="99"/>
      <c r="C821" s="81"/>
      <c r="D821" s="3"/>
      <c r="E821" s="8"/>
    </row>
    <row r="822" spans="2:5" x14ac:dyDescent="0.25">
      <c r="B822" s="99"/>
      <c r="C822" s="81"/>
      <c r="D822" s="3"/>
      <c r="E822" s="8"/>
    </row>
    <row r="823" spans="2:5" x14ac:dyDescent="0.25">
      <c r="B823" s="99"/>
      <c r="C823" s="81"/>
      <c r="D823" s="3"/>
      <c r="E823" s="8"/>
    </row>
    <row r="824" spans="2:5" x14ac:dyDescent="0.25">
      <c r="B824" s="99"/>
      <c r="C824" s="81"/>
      <c r="D824" s="3"/>
      <c r="E824" s="8"/>
    </row>
    <row r="825" spans="2:5" x14ac:dyDescent="0.25">
      <c r="B825" s="99"/>
      <c r="C825" s="81"/>
      <c r="D825" s="3"/>
      <c r="E825" s="8"/>
    </row>
    <row r="826" spans="2:5" x14ac:dyDescent="0.25">
      <c r="B826" s="99"/>
      <c r="C826" s="81"/>
      <c r="D826" s="3"/>
      <c r="E826" s="8"/>
    </row>
    <row r="827" spans="2:5" x14ac:dyDescent="0.25">
      <c r="B827" s="99"/>
      <c r="C827" s="81"/>
      <c r="D827" s="3"/>
      <c r="E827" s="8"/>
    </row>
    <row r="828" spans="2:5" x14ac:dyDescent="0.25">
      <c r="B828" s="99"/>
      <c r="C828" s="81"/>
      <c r="D828" s="3"/>
      <c r="E828" s="8"/>
    </row>
    <row r="829" spans="2:5" x14ac:dyDescent="0.25">
      <c r="B829" s="99"/>
      <c r="C829" s="81"/>
      <c r="D829" s="3"/>
      <c r="E829" s="8"/>
    </row>
    <row r="830" spans="2:5" x14ac:dyDescent="0.25">
      <c r="B830" s="99"/>
      <c r="C830" s="81"/>
      <c r="D830" s="3"/>
      <c r="E830" s="8"/>
    </row>
    <row r="831" spans="2:5" x14ac:dyDescent="0.25">
      <c r="B831" s="99"/>
      <c r="C831" s="81"/>
      <c r="D831" s="3"/>
      <c r="E831" s="8"/>
    </row>
    <row r="832" spans="2:5" x14ac:dyDescent="0.25">
      <c r="B832" s="99"/>
      <c r="C832" s="81"/>
      <c r="D832" s="3"/>
      <c r="E832" s="8"/>
    </row>
    <row r="833" spans="2:5" x14ac:dyDescent="0.25">
      <c r="B833" s="99"/>
      <c r="C833" s="81"/>
      <c r="D833" s="3"/>
      <c r="E833" s="8"/>
    </row>
    <row r="834" spans="2:5" x14ac:dyDescent="0.25">
      <c r="B834" s="99"/>
      <c r="C834" s="81"/>
      <c r="D834" s="3"/>
      <c r="E834" s="8"/>
    </row>
    <row r="835" spans="2:5" x14ac:dyDescent="0.25">
      <c r="B835" s="99"/>
      <c r="C835" s="81"/>
      <c r="D835" s="3"/>
      <c r="E835" s="8"/>
    </row>
    <row r="836" spans="2:5" x14ac:dyDescent="0.25">
      <c r="B836" s="99"/>
      <c r="C836" s="81"/>
      <c r="D836" s="3"/>
      <c r="E836" s="8"/>
    </row>
    <row r="837" spans="2:5" x14ac:dyDescent="0.25">
      <c r="B837" s="99"/>
      <c r="C837" s="81"/>
      <c r="D837" s="3"/>
      <c r="E837" s="8"/>
    </row>
    <row r="838" spans="2:5" x14ac:dyDescent="0.25">
      <c r="B838" s="99"/>
      <c r="C838" s="81"/>
      <c r="D838" s="3"/>
      <c r="E838" s="8"/>
    </row>
    <row r="839" spans="2:5" x14ac:dyDescent="0.25">
      <c r="B839" s="99"/>
      <c r="C839" s="81"/>
      <c r="D839" s="3"/>
      <c r="E839" s="8"/>
    </row>
    <row r="840" spans="2:5" x14ac:dyDescent="0.25">
      <c r="B840" s="99"/>
      <c r="C840" s="81"/>
      <c r="D840" s="3"/>
      <c r="E840" s="8"/>
    </row>
    <row r="841" spans="2:5" x14ac:dyDescent="0.25">
      <c r="B841" s="99"/>
      <c r="C841" s="81"/>
      <c r="D841" s="3"/>
      <c r="E841" s="8"/>
    </row>
    <row r="842" spans="2:5" x14ac:dyDescent="0.25">
      <c r="B842" s="99"/>
      <c r="C842" s="81"/>
      <c r="D842" s="3"/>
      <c r="E842" s="8"/>
    </row>
    <row r="843" spans="2:5" x14ac:dyDescent="0.25">
      <c r="B843" s="99"/>
      <c r="C843" s="81"/>
      <c r="D843" s="3"/>
      <c r="E843" s="8"/>
    </row>
    <row r="844" spans="2:5" x14ac:dyDescent="0.25">
      <c r="B844" s="99"/>
      <c r="C844" s="81"/>
      <c r="D844" s="3"/>
      <c r="E844" s="8"/>
    </row>
    <row r="845" spans="2:5" x14ac:dyDescent="0.25">
      <c r="B845" s="99"/>
      <c r="C845" s="81"/>
      <c r="D845" s="3"/>
      <c r="E845" s="8"/>
    </row>
    <row r="846" spans="2:5" x14ac:dyDescent="0.25">
      <c r="B846" s="99"/>
      <c r="C846" s="81"/>
      <c r="D846" s="3"/>
      <c r="E846" s="8"/>
    </row>
    <row r="847" spans="2:5" x14ac:dyDescent="0.25">
      <c r="B847" s="99"/>
      <c r="C847" s="81"/>
      <c r="D847" s="3"/>
      <c r="E847" s="8"/>
    </row>
    <row r="848" spans="2:5" x14ac:dyDescent="0.25">
      <c r="B848" s="99"/>
      <c r="C848" s="81"/>
      <c r="D848" s="3"/>
      <c r="E848" s="8"/>
    </row>
    <row r="849" spans="2:5" x14ac:dyDescent="0.25">
      <c r="B849" s="99"/>
      <c r="C849" s="81"/>
      <c r="D849" s="3"/>
      <c r="E849" s="8"/>
    </row>
    <row r="850" spans="2:5" x14ac:dyDescent="0.25">
      <c r="B850" s="99"/>
      <c r="C850" s="81"/>
      <c r="D850" s="3"/>
      <c r="E850" s="8"/>
    </row>
    <row r="851" spans="2:5" x14ac:dyDescent="0.25">
      <c r="B851" s="99"/>
      <c r="C851" s="81"/>
      <c r="D851" s="3"/>
      <c r="E851" s="8"/>
    </row>
    <row r="852" spans="2:5" x14ac:dyDescent="0.25">
      <c r="B852" s="99"/>
      <c r="C852" s="81"/>
      <c r="D852" s="3"/>
      <c r="E852" s="8"/>
    </row>
    <row r="853" spans="2:5" x14ac:dyDescent="0.25">
      <c r="B853" s="99"/>
      <c r="C853" s="81"/>
      <c r="D853" s="3"/>
      <c r="E853" s="8"/>
    </row>
    <row r="854" spans="2:5" x14ac:dyDescent="0.25">
      <c r="B854" s="99"/>
      <c r="C854" s="81"/>
      <c r="D854" s="3"/>
      <c r="E854" s="8"/>
    </row>
    <row r="855" spans="2:5" x14ac:dyDescent="0.25">
      <c r="B855" s="99"/>
      <c r="C855" s="81"/>
      <c r="D855" s="3"/>
      <c r="E855" s="8"/>
    </row>
    <row r="856" spans="2:5" x14ac:dyDescent="0.25">
      <c r="B856" s="99"/>
      <c r="C856" s="81"/>
      <c r="D856" s="3"/>
      <c r="E856" s="8"/>
    </row>
    <row r="857" spans="2:5" x14ac:dyDescent="0.25">
      <c r="B857" s="99"/>
      <c r="C857" s="81"/>
      <c r="D857" s="3"/>
      <c r="E857" s="8"/>
    </row>
    <row r="858" spans="2:5" x14ac:dyDescent="0.25">
      <c r="B858" s="99"/>
      <c r="C858" s="81"/>
      <c r="D858" s="3"/>
      <c r="E858" s="8"/>
    </row>
    <row r="859" spans="2:5" x14ac:dyDescent="0.25">
      <c r="B859" s="99"/>
      <c r="C859" s="81"/>
      <c r="D859" s="3"/>
      <c r="E859" s="8"/>
    </row>
    <row r="860" spans="2:5" x14ac:dyDescent="0.25">
      <c r="B860" s="99"/>
      <c r="C860" s="81"/>
      <c r="D860" s="3"/>
      <c r="E860" s="8"/>
    </row>
    <row r="861" spans="2:5" x14ac:dyDescent="0.25">
      <c r="B861" s="99"/>
      <c r="C861" s="81"/>
      <c r="D861" s="3"/>
      <c r="E861" s="8"/>
    </row>
    <row r="862" spans="2:5" x14ac:dyDescent="0.25">
      <c r="B862" s="99"/>
      <c r="C862" s="81"/>
      <c r="D862" s="3"/>
      <c r="E862" s="8"/>
    </row>
    <row r="863" spans="2:5" x14ac:dyDescent="0.25">
      <c r="B863" s="99"/>
      <c r="C863" s="81"/>
      <c r="D863" s="3"/>
      <c r="E863" s="8"/>
    </row>
    <row r="864" spans="2:5" x14ac:dyDescent="0.25">
      <c r="B864" s="99"/>
      <c r="C864" s="81"/>
      <c r="D864" s="3"/>
      <c r="E864" s="8"/>
    </row>
    <row r="865" spans="2:5" x14ac:dyDescent="0.25">
      <c r="B865" s="99"/>
      <c r="C865" s="81"/>
      <c r="D865" s="3"/>
      <c r="E865" s="8"/>
    </row>
    <row r="866" spans="2:5" x14ac:dyDescent="0.25">
      <c r="B866" s="99"/>
      <c r="C866" s="81"/>
      <c r="D866" s="3"/>
      <c r="E866" s="8"/>
    </row>
    <row r="867" spans="2:5" x14ac:dyDescent="0.25">
      <c r="B867" s="99"/>
      <c r="C867" s="81"/>
      <c r="D867" s="3"/>
      <c r="E867" s="8"/>
    </row>
    <row r="868" spans="2:5" x14ac:dyDescent="0.25">
      <c r="B868" s="99"/>
      <c r="C868" s="81"/>
      <c r="D868" s="3"/>
      <c r="E868" s="8"/>
    </row>
    <row r="869" spans="2:5" x14ac:dyDescent="0.25">
      <c r="B869" s="99"/>
      <c r="C869" s="81"/>
      <c r="D869" s="3"/>
      <c r="E869" s="8"/>
    </row>
    <row r="870" spans="2:5" x14ac:dyDescent="0.25">
      <c r="B870" s="99"/>
      <c r="C870" s="81"/>
      <c r="D870" s="3"/>
      <c r="E870" s="8"/>
    </row>
    <row r="871" spans="2:5" x14ac:dyDescent="0.25">
      <c r="B871" s="99"/>
      <c r="C871" s="81"/>
      <c r="D871" s="3"/>
      <c r="E871" s="8"/>
    </row>
    <row r="872" spans="2:5" x14ac:dyDescent="0.25">
      <c r="B872" s="99"/>
      <c r="C872" s="81"/>
      <c r="D872" s="3"/>
      <c r="E872" s="8"/>
    </row>
    <row r="873" spans="2:5" x14ac:dyDescent="0.25">
      <c r="B873" s="99"/>
      <c r="C873" s="81"/>
      <c r="D873" s="3"/>
      <c r="E873" s="8"/>
    </row>
    <row r="874" spans="2:5" x14ac:dyDescent="0.25">
      <c r="B874" s="99"/>
      <c r="C874" s="81"/>
      <c r="D874" s="3"/>
      <c r="E874" s="8"/>
    </row>
    <row r="875" spans="2:5" x14ac:dyDescent="0.25">
      <c r="B875" s="99"/>
      <c r="C875" s="81"/>
      <c r="D875" s="3"/>
      <c r="E875" s="8"/>
    </row>
    <row r="876" spans="2:5" x14ac:dyDescent="0.25">
      <c r="B876" s="99"/>
      <c r="C876" s="81"/>
      <c r="D876" s="3"/>
      <c r="E876" s="8"/>
    </row>
    <row r="877" spans="2:5" x14ac:dyDescent="0.25">
      <c r="B877" s="99"/>
      <c r="C877" s="81"/>
      <c r="D877" s="3"/>
      <c r="E877" s="8"/>
    </row>
    <row r="878" spans="2:5" x14ac:dyDescent="0.25">
      <c r="B878" s="99"/>
      <c r="C878" s="81"/>
      <c r="D878" s="3"/>
      <c r="E878" s="8"/>
    </row>
    <row r="879" spans="2:5" x14ac:dyDescent="0.25">
      <c r="B879" s="99"/>
      <c r="C879" s="81"/>
      <c r="D879" s="3"/>
      <c r="E879" s="8"/>
    </row>
    <row r="880" spans="2:5" x14ac:dyDescent="0.25">
      <c r="B880" s="99"/>
      <c r="C880" s="81"/>
      <c r="D880" s="3"/>
      <c r="E880" s="8"/>
    </row>
    <row r="881" spans="2:5" x14ac:dyDescent="0.25">
      <c r="B881" s="99"/>
      <c r="C881" s="81"/>
      <c r="D881" s="3"/>
      <c r="E881" s="8"/>
    </row>
    <row r="882" spans="2:5" x14ac:dyDescent="0.25">
      <c r="B882" s="99"/>
      <c r="C882" s="81"/>
      <c r="D882" s="3"/>
      <c r="E882" s="8"/>
    </row>
    <row r="883" spans="2:5" x14ac:dyDescent="0.25">
      <c r="B883" s="99"/>
      <c r="C883" s="81"/>
      <c r="D883" s="3"/>
      <c r="E883" s="8"/>
    </row>
    <row r="884" spans="2:5" x14ac:dyDescent="0.25">
      <c r="B884" s="99"/>
      <c r="C884" s="81"/>
      <c r="D884" s="3"/>
      <c r="E884" s="8"/>
    </row>
    <row r="885" spans="2:5" x14ac:dyDescent="0.25">
      <c r="B885" s="99"/>
      <c r="C885" s="81"/>
      <c r="D885" s="3"/>
      <c r="E885" s="8"/>
    </row>
    <row r="886" spans="2:5" x14ac:dyDescent="0.25">
      <c r="B886" s="99"/>
      <c r="C886" s="81"/>
      <c r="D886" s="3"/>
      <c r="E886" s="8"/>
    </row>
    <row r="887" spans="2:5" x14ac:dyDescent="0.25">
      <c r="B887" s="99"/>
      <c r="C887" s="81"/>
      <c r="D887" s="3"/>
      <c r="E887" s="8"/>
    </row>
    <row r="888" spans="2:5" x14ac:dyDescent="0.25">
      <c r="B888" s="99"/>
      <c r="C888" s="81"/>
      <c r="D888" s="3"/>
      <c r="E888" s="8"/>
    </row>
    <row r="889" spans="2:5" x14ac:dyDescent="0.25">
      <c r="B889" s="99"/>
      <c r="C889" s="81"/>
      <c r="D889" s="3"/>
      <c r="E889" s="8"/>
    </row>
    <row r="890" spans="2:5" x14ac:dyDescent="0.25">
      <c r="B890" s="99"/>
      <c r="C890" s="81"/>
      <c r="D890" s="3"/>
      <c r="E890" s="8"/>
    </row>
    <row r="891" spans="2:5" x14ac:dyDescent="0.25">
      <c r="B891" s="99"/>
      <c r="C891" s="81"/>
      <c r="D891" s="3"/>
      <c r="E891" s="8"/>
    </row>
    <row r="892" spans="2:5" x14ac:dyDescent="0.25">
      <c r="B892" s="99"/>
      <c r="C892" s="81"/>
      <c r="D892" s="3"/>
      <c r="E892" s="8"/>
    </row>
    <row r="893" spans="2:5" x14ac:dyDescent="0.25">
      <c r="B893" s="99"/>
      <c r="C893" s="81"/>
      <c r="D893" s="3"/>
      <c r="E893" s="8"/>
    </row>
    <row r="894" spans="2:5" x14ac:dyDescent="0.25">
      <c r="B894" s="99"/>
      <c r="C894" s="81"/>
      <c r="D894" s="3"/>
      <c r="E894" s="8"/>
    </row>
    <row r="895" spans="2:5" x14ac:dyDescent="0.25">
      <c r="B895" s="99"/>
      <c r="C895" s="81"/>
      <c r="D895" s="3"/>
      <c r="E895" s="8"/>
    </row>
    <row r="896" spans="2:5" x14ac:dyDescent="0.25">
      <c r="B896" s="99"/>
      <c r="C896" s="81"/>
      <c r="D896" s="3"/>
      <c r="E896" s="8"/>
    </row>
    <row r="897" spans="2:5" x14ac:dyDescent="0.25">
      <c r="B897" s="99"/>
      <c r="C897" s="81"/>
      <c r="D897" s="3"/>
      <c r="E897" s="8"/>
    </row>
    <row r="898" spans="2:5" x14ac:dyDescent="0.25">
      <c r="B898" s="99"/>
      <c r="C898" s="81"/>
      <c r="D898" s="3"/>
      <c r="E898" s="8"/>
    </row>
    <row r="899" spans="2:5" x14ac:dyDescent="0.25">
      <c r="B899" s="99"/>
      <c r="C899" s="81"/>
      <c r="D899" s="3"/>
      <c r="E899" s="8"/>
    </row>
    <row r="900" spans="2:5" x14ac:dyDescent="0.25">
      <c r="B900" s="99"/>
      <c r="C900" s="81"/>
      <c r="D900" s="3"/>
      <c r="E900" s="8"/>
    </row>
    <row r="901" spans="2:5" x14ac:dyDescent="0.25">
      <c r="B901" s="99"/>
      <c r="C901" s="81"/>
      <c r="D901" s="3"/>
      <c r="E901" s="8"/>
    </row>
    <row r="902" spans="2:5" x14ac:dyDescent="0.25">
      <c r="B902" s="99"/>
      <c r="C902" s="81"/>
      <c r="D902" s="3"/>
      <c r="E902" s="8"/>
    </row>
    <row r="903" spans="2:5" x14ac:dyDescent="0.25">
      <c r="B903" s="99"/>
      <c r="C903" s="81"/>
      <c r="D903" s="3"/>
      <c r="E903" s="8"/>
    </row>
    <row r="904" spans="2:5" x14ac:dyDescent="0.25">
      <c r="B904" s="99"/>
      <c r="C904" s="81"/>
      <c r="D904" s="3"/>
      <c r="E904" s="8"/>
    </row>
    <row r="905" spans="2:5" x14ac:dyDescent="0.25">
      <c r="B905" s="99"/>
      <c r="C905" s="81"/>
      <c r="D905" s="3"/>
      <c r="E905" s="8"/>
    </row>
    <row r="906" spans="2:5" x14ac:dyDescent="0.25">
      <c r="B906" s="99"/>
      <c r="C906" s="81"/>
      <c r="D906" s="3"/>
      <c r="E906" s="8"/>
    </row>
    <row r="907" spans="2:5" x14ac:dyDescent="0.25">
      <c r="B907" s="99"/>
      <c r="C907" s="81"/>
      <c r="D907" s="3"/>
      <c r="E907" s="8"/>
    </row>
    <row r="908" spans="2:5" x14ac:dyDescent="0.25">
      <c r="B908" s="99"/>
      <c r="C908" s="81"/>
      <c r="D908" s="3"/>
      <c r="E908" s="8"/>
    </row>
    <row r="909" spans="2:5" x14ac:dyDescent="0.25">
      <c r="B909" s="99"/>
      <c r="C909" s="81"/>
      <c r="D909" s="3"/>
      <c r="E909" s="8"/>
    </row>
    <row r="910" spans="2:5" x14ac:dyDescent="0.25">
      <c r="B910" s="99"/>
      <c r="C910" s="81"/>
      <c r="D910" s="3"/>
      <c r="E910" s="8"/>
    </row>
    <row r="911" spans="2:5" x14ac:dyDescent="0.25">
      <c r="B911" s="99"/>
      <c r="C911" s="81"/>
      <c r="D911" s="3"/>
      <c r="E911" s="8"/>
    </row>
    <row r="912" spans="2:5" x14ac:dyDescent="0.25">
      <c r="B912" s="99"/>
      <c r="C912" s="81"/>
      <c r="D912" s="3"/>
      <c r="E912" s="8"/>
    </row>
    <row r="913" spans="2:5" x14ac:dyDescent="0.25">
      <c r="B913" s="99"/>
      <c r="C913" s="81"/>
      <c r="D913" s="3"/>
      <c r="E913" s="8"/>
    </row>
    <row r="914" spans="2:5" x14ac:dyDescent="0.25">
      <c r="B914" s="99"/>
      <c r="C914" s="81"/>
      <c r="D914" s="3"/>
      <c r="E914" s="8"/>
    </row>
    <row r="915" spans="2:5" x14ac:dyDescent="0.25">
      <c r="B915" s="99"/>
      <c r="C915" s="81"/>
      <c r="D915" s="3"/>
      <c r="E915" s="8"/>
    </row>
    <row r="916" spans="2:5" x14ac:dyDescent="0.25">
      <c r="B916" s="99"/>
      <c r="C916" s="81"/>
      <c r="D916" s="3"/>
      <c r="E916" s="8"/>
    </row>
    <row r="917" spans="2:5" x14ac:dyDescent="0.25">
      <c r="B917" s="99"/>
      <c r="C917" s="81"/>
      <c r="D917" s="3"/>
      <c r="E917" s="8"/>
    </row>
    <row r="918" spans="2:5" x14ac:dyDescent="0.25">
      <c r="B918" s="99"/>
      <c r="C918" s="81"/>
      <c r="D918" s="3"/>
      <c r="E918" s="8"/>
    </row>
    <row r="919" spans="2:5" x14ac:dyDescent="0.25">
      <c r="B919" s="99"/>
      <c r="C919" s="81"/>
      <c r="D919" s="3"/>
      <c r="E919" s="8"/>
    </row>
    <row r="920" spans="2:5" x14ac:dyDescent="0.25">
      <c r="B920" s="99"/>
      <c r="C920" s="81"/>
      <c r="D920" s="3"/>
      <c r="E920" s="8"/>
    </row>
    <row r="921" spans="2:5" x14ac:dyDescent="0.25">
      <c r="B921" s="99"/>
      <c r="C921" s="81"/>
      <c r="D921" s="3"/>
      <c r="E921" s="8"/>
    </row>
    <row r="922" spans="2:5" x14ac:dyDescent="0.25">
      <c r="B922" s="99"/>
      <c r="C922" s="81"/>
      <c r="D922" s="3"/>
      <c r="E922" s="8"/>
    </row>
    <row r="923" spans="2:5" x14ac:dyDescent="0.25">
      <c r="B923" s="99"/>
      <c r="C923" s="81"/>
      <c r="D923" s="3"/>
      <c r="E923" s="8"/>
    </row>
    <row r="924" spans="2:5" x14ac:dyDescent="0.25">
      <c r="B924" s="99"/>
      <c r="C924" s="81"/>
      <c r="D924" s="3"/>
      <c r="E924" s="8"/>
    </row>
    <row r="925" spans="2:5" x14ac:dyDescent="0.25">
      <c r="B925" s="99"/>
      <c r="C925" s="81"/>
      <c r="D925" s="3"/>
      <c r="E925" s="8"/>
    </row>
    <row r="926" spans="2:5" x14ac:dyDescent="0.25">
      <c r="B926" s="99"/>
      <c r="C926" s="81"/>
      <c r="D926" s="3"/>
      <c r="E926" s="8"/>
    </row>
    <row r="927" spans="2:5" x14ac:dyDescent="0.25">
      <c r="B927" s="99"/>
      <c r="C927" s="81"/>
      <c r="D927" s="3"/>
      <c r="E927" s="8"/>
    </row>
    <row r="928" spans="2:5" x14ac:dyDescent="0.25">
      <c r="B928" s="99"/>
      <c r="C928" s="81"/>
      <c r="D928" s="3"/>
      <c r="E928" s="8"/>
    </row>
    <row r="929" spans="2:5" x14ac:dyDescent="0.25">
      <c r="B929" s="99"/>
      <c r="C929" s="81"/>
      <c r="D929" s="3"/>
      <c r="E929" s="8"/>
    </row>
    <row r="930" spans="2:5" x14ac:dyDescent="0.25">
      <c r="B930" s="99"/>
      <c r="C930" s="81"/>
      <c r="D930" s="3"/>
      <c r="E930" s="8"/>
    </row>
    <row r="931" spans="2:5" x14ac:dyDescent="0.25">
      <c r="B931" s="99"/>
      <c r="C931" s="81"/>
      <c r="D931" s="3"/>
      <c r="E931" s="8"/>
    </row>
    <row r="932" spans="2:5" x14ac:dyDescent="0.25">
      <c r="B932" s="99"/>
      <c r="C932" s="81"/>
      <c r="D932" s="3"/>
      <c r="E932" s="8"/>
    </row>
    <row r="933" spans="2:5" x14ac:dyDescent="0.25">
      <c r="B933" s="99"/>
      <c r="C933" s="81"/>
      <c r="D933" s="3"/>
      <c r="E933" s="8"/>
    </row>
    <row r="934" spans="2:5" x14ac:dyDescent="0.25">
      <c r="B934" s="99"/>
      <c r="C934" s="81"/>
      <c r="D934" s="3"/>
      <c r="E934" s="8"/>
    </row>
    <row r="935" spans="2:5" x14ac:dyDescent="0.25">
      <c r="B935" s="99"/>
      <c r="C935" s="81"/>
      <c r="D935" s="3"/>
      <c r="E935" s="8"/>
    </row>
    <row r="936" spans="2:5" x14ac:dyDescent="0.25">
      <c r="B936" s="99"/>
      <c r="C936" s="81"/>
      <c r="D936" s="3"/>
      <c r="E936" s="8"/>
    </row>
    <row r="937" spans="2:5" x14ac:dyDescent="0.25">
      <c r="B937" s="99"/>
      <c r="C937" s="81"/>
      <c r="D937" s="3"/>
      <c r="E937" s="8"/>
    </row>
    <row r="938" spans="2:5" x14ac:dyDescent="0.25">
      <c r="B938" s="99"/>
      <c r="C938" s="81"/>
      <c r="D938" s="3"/>
      <c r="E938" s="8"/>
    </row>
    <row r="939" spans="2:5" x14ac:dyDescent="0.25">
      <c r="B939" s="99"/>
      <c r="C939" s="81"/>
      <c r="D939" s="3"/>
      <c r="E939" s="8"/>
    </row>
    <row r="940" spans="2:5" x14ac:dyDescent="0.25">
      <c r="B940" s="99"/>
      <c r="C940" s="81"/>
      <c r="D940" s="3"/>
      <c r="E940" s="8"/>
    </row>
    <row r="941" spans="2:5" x14ac:dyDescent="0.25">
      <c r="B941" s="99"/>
      <c r="C941" s="81"/>
      <c r="D941" s="3"/>
      <c r="E941" s="8"/>
    </row>
    <row r="942" spans="2:5" x14ac:dyDescent="0.25">
      <c r="B942" s="99"/>
      <c r="C942" s="81"/>
      <c r="D942" s="3"/>
      <c r="E942" s="8"/>
    </row>
    <row r="943" spans="2:5" x14ac:dyDescent="0.25">
      <c r="B943" s="99"/>
      <c r="C943" s="81"/>
      <c r="D943" s="3"/>
      <c r="E943" s="8"/>
    </row>
    <row r="944" spans="2:5" x14ac:dyDescent="0.25">
      <c r="B944" s="99"/>
      <c r="C944" s="81"/>
      <c r="D944" s="3"/>
      <c r="E944" s="8"/>
    </row>
    <row r="945" spans="2:5" x14ac:dyDescent="0.25">
      <c r="B945" s="99"/>
      <c r="C945" s="81"/>
      <c r="D945" s="3"/>
      <c r="E945" s="8"/>
    </row>
    <row r="946" spans="2:5" x14ac:dyDescent="0.25">
      <c r="B946" s="99"/>
      <c r="C946" s="81"/>
      <c r="D946" s="3"/>
      <c r="E946" s="8"/>
    </row>
    <row r="947" spans="2:5" x14ac:dyDescent="0.25">
      <c r="B947" s="99"/>
      <c r="C947" s="81"/>
      <c r="D947" s="3"/>
      <c r="E947" s="8"/>
    </row>
    <row r="948" spans="2:5" x14ac:dyDescent="0.25">
      <c r="B948" s="99"/>
      <c r="C948" s="81"/>
      <c r="D948" s="3"/>
      <c r="E948" s="8"/>
    </row>
    <row r="949" spans="2:5" x14ac:dyDescent="0.25">
      <c r="B949" s="99"/>
      <c r="C949" s="81"/>
      <c r="D949" s="3"/>
      <c r="E949" s="8"/>
    </row>
    <row r="950" spans="2:5" x14ac:dyDescent="0.25">
      <c r="B950" s="99"/>
      <c r="C950" s="81"/>
      <c r="D950" s="3"/>
      <c r="E950" s="8"/>
    </row>
    <row r="951" spans="2:5" x14ac:dyDescent="0.25">
      <c r="B951" s="99"/>
      <c r="C951" s="81"/>
      <c r="D951" s="3"/>
      <c r="E951" s="8"/>
    </row>
    <row r="952" spans="2:5" x14ac:dyDescent="0.25">
      <c r="B952" s="99"/>
      <c r="C952" s="81"/>
      <c r="D952" s="3"/>
      <c r="E952" s="8"/>
    </row>
    <row r="953" spans="2:5" x14ac:dyDescent="0.25">
      <c r="B953" s="99"/>
      <c r="C953" s="81"/>
      <c r="D953" s="3"/>
      <c r="E953" s="8"/>
    </row>
    <row r="954" spans="2:5" x14ac:dyDescent="0.25">
      <c r="B954" s="99"/>
      <c r="C954" s="81"/>
      <c r="D954" s="3"/>
      <c r="E954" s="8"/>
    </row>
    <row r="955" spans="2:5" x14ac:dyDescent="0.25">
      <c r="B955" s="99"/>
      <c r="C955" s="81"/>
      <c r="D955" s="3"/>
      <c r="E955" s="8"/>
    </row>
    <row r="956" spans="2:5" x14ac:dyDescent="0.25">
      <c r="B956" s="99"/>
      <c r="C956" s="81"/>
      <c r="D956" s="3"/>
      <c r="E956" s="8"/>
    </row>
    <row r="957" spans="2:5" x14ac:dyDescent="0.25">
      <c r="B957" s="99"/>
      <c r="C957" s="81"/>
      <c r="D957" s="3"/>
      <c r="E957" s="8"/>
    </row>
    <row r="958" spans="2:5" x14ac:dyDescent="0.25">
      <c r="B958" s="99"/>
      <c r="C958" s="81"/>
      <c r="D958" s="3"/>
      <c r="E958" s="8"/>
    </row>
    <row r="959" spans="2:5" x14ac:dyDescent="0.25">
      <c r="B959" s="99"/>
      <c r="C959" s="81"/>
      <c r="D959" s="3"/>
      <c r="E959" s="8"/>
    </row>
    <row r="960" spans="2:5" x14ac:dyDescent="0.25">
      <c r="B960" s="99"/>
      <c r="C960" s="81"/>
      <c r="D960" s="3"/>
      <c r="E960" s="8"/>
    </row>
    <row r="961" spans="2:5" x14ac:dyDescent="0.25">
      <c r="B961" s="99"/>
      <c r="C961" s="81"/>
      <c r="D961" s="3"/>
      <c r="E961" s="8"/>
    </row>
    <row r="962" spans="2:5" x14ac:dyDescent="0.25">
      <c r="B962" s="99"/>
      <c r="C962" s="81"/>
      <c r="D962" s="3"/>
      <c r="E962" s="8"/>
    </row>
    <row r="963" spans="2:5" x14ac:dyDescent="0.25">
      <c r="B963" s="99"/>
      <c r="C963" s="81"/>
      <c r="D963" s="3"/>
      <c r="E963" s="8"/>
    </row>
    <row r="964" spans="2:5" x14ac:dyDescent="0.25">
      <c r="B964" s="99"/>
      <c r="C964" s="81"/>
      <c r="D964" s="3"/>
      <c r="E964" s="8"/>
    </row>
    <row r="965" spans="2:5" x14ac:dyDescent="0.25">
      <c r="B965" s="99"/>
      <c r="C965" s="81"/>
      <c r="D965" s="3"/>
      <c r="E965" s="8"/>
    </row>
    <row r="966" spans="2:5" x14ac:dyDescent="0.25">
      <c r="B966" s="99"/>
      <c r="C966" s="81"/>
      <c r="D966" s="3"/>
      <c r="E966" s="8"/>
    </row>
    <row r="967" spans="2:5" x14ac:dyDescent="0.25">
      <c r="B967" s="99"/>
      <c r="C967" s="81"/>
      <c r="D967" s="3"/>
      <c r="E967" s="8"/>
    </row>
    <row r="968" spans="2:5" x14ac:dyDescent="0.25">
      <c r="B968" s="99"/>
      <c r="C968" s="81"/>
      <c r="D968" s="3"/>
      <c r="E968" s="8"/>
    </row>
    <row r="969" spans="2:5" x14ac:dyDescent="0.25">
      <c r="B969" s="99"/>
      <c r="C969" s="81"/>
      <c r="D969" s="3"/>
      <c r="E969" s="8"/>
    </row>
    <row r="970" spans="2:5" x14ac:dyDescent="0.25">
      <c r="B970" s="99"/>
      <c r="C970" s="81"/>
      <c r="D970" s="3"/>
      <c r="E970" s="8"/>
    </row>
    <row r="971" spans="2:5" x14ac:dyDescent="0.25">
      <c r="B971" s="99"/>
      <c r="C971" s="81"/>
      <c r="D971" s="3"/>
      <c r="E971" s="8"/>
    </row>
    <row r="972" spans="2:5" x14ac:dyDescent="0.25">
      <c r="B972" s="99"/>
      <c r="C972" s="81"/>
      <c r="D972" s="3"/>
      <c r="E972" s="8"/>
    </row>
    <row r="973" spans="2:5" x14ac:dyDescent="0.25">
      <c r="B973" s="99"/>
      <c r="C973" s="81"/>
      <c r="D973" s="3"/>
      <c r="E973" s="8"/>
    </row>
    <row r="974" spans="2:5" x14ac:dyDescent="0.25">
      <c r="B974" s="99"/>
      <c r="C974" s="81"/>
      <c r="D974" s="3"/>
      <c r="E974" s="8"/>
    </row>
    <row r="975" spans="2:5" x14ac:dyDescent="0.25">
      <c r="B975" s="99"/>
      <c r="C975" s="81"/>
      <c r="D975" s="3"/>
      <c r="E975" s="8"/>
    </row>
    <row r="976" spans="2:5" x14ac:dyDescent="0.25">
      <c r="B976" s="99"/>
      <c r="C976" s="81"/>
      <c r="D976" s="3"/>
      <c r="E976" s="8"/>
    </row>
    <row r="977" spans="2:5" x14ac:dyDescent="0.25">
      <c r="B977" s="99"/>
      <c r="C977" s="81"/>
      <c r="D977" s="3"/>
      <c r="E977" s="8"/>
    </row>
    <row r="978" spans="2:5" x14ac:dyDescent="0.25">
      <c r="B978" s="99"/>
      <c r="C978" s="81"/>
      <c r="D978" s="3"/>
      <c r="E978" s="8"/>
    </row>
    <row r="979" spans="2:5" x14ac:dyDescent="0.25">
      <c r="B979" s="99"/>
      <c r="C979" s="81"/>
      <c r="D979" s="3"/>
      <c r="E979" s="8"/>
    </row>
    <row r="980" spans="2:5" x14ac:dyDescent="0.25">
      <c r="B980" s="99"/>
      <c r="C980" s="81"/>
      <c r="D980" s="3"/>
      <c r="E980" s="8"/>
    </row>
    <row r="981" spans="2:5" x14ac:dyDescent="0.25">
      <c r="B981" s="99"/>
      <c r="C981" s="81"/>
      <c r="D981" s="3"/>
      <c r="E981" s="8"/>
    </row>
    <row r="982" spans="2:5" x14ac:dyDescent="0.25">
      <c r="B982" s="99"/>
      <c r="C982" s="81"/>
      <c r="D982" s="3"/>
      <c r="E982" s="8"/>
    </row>
    <row r="983" spans="2:5" x14ac:dyDescent="0.25">
      <c r="B983" s="99"/>
      <c r="C983" s="81"/>
      <c r="D983" s="3"/>
      <c r="E983" s="8"/>
    </row>
    <row r="984" spans="2:5" x14ac:dyDescent="0.25">
      <c r="B984" s="99"/>
      <c r="C984" s="81"/>
      <c r="D984" s="3"/>
      <c r="E984" s="8"/>
    </row>
    <row r="985" spans="2:5" x14ac:dyDescent="0.25">
      <c r="B985" s="99"/>
      <c r="C985" s="81"/>
      <c r="D985" s="3"/>
      <c r="E985" s="8"/>
    </row>
    <row r="986" spans="2:5" x14ac:dyDescent="0.25">
      <c r="B986" s="99"/>
      <c r="C986" s="81"/>
      <c r="D986" s="3"/>
      <c r="E986" s="8"/>
    </row>
    <row r="987" spans="2:5" x14ac:dyDescent="0.25">
      <c r="B987" s="99"/>
      <c r="C987" s="81"/>
      <c r="D987" s="3"/>
      <c r="E987" s="8"/>
    </row>
    <row r="988" spans="2:5" x14ac:dyDescent="0.25">
      <c r="B988" s="99"/>
      <c r="C988" s="81"/>
      <c r="D988" s="3"/>
      <c r="E988" s="8"/>
    </row>
    <row r="989" spans="2:5" x14ac:dyDescent="0.25">
      <c r="B989" s="99"/>
      <c r="C989" s="81"/>
      <c r="D989" s="3"/>
      <c r="E989" s="8"/>
    </row>
    <row r="990" spans="2:5" x14ac:dyDescent="0.25">
      <c r="B990" s="99"/>
      <c r="C990" s="81"/>
      <c r="D990" s="3"/>
      <c r="E990" s="8"/>
    </row>
    <row r="991" spans="2:5" x14ac:dyDescent="0.25">
      <c r="B991" s="99"/>
      <c r="C991" s="81"/>
      <c r="D991" s="3"/>
      <c r="E991" s="8"/>
    </row>
    <row r="992" spans="2:5" x14ac:dyDescent="0.25">
      <c r="B992" s="99"/>
      <c r="C992" s="81"/>
      <c r="D992" s="3"/>
      <c r="E992" s="8"/>
    </row>
    <row r="993" spans="2:5" x14ac:dyDescent="0.25">
      <c r="B993" s="99"/>
      <c r="C993" s="81"/>
      <c r="D993" s="3"/>
      <c r="E993" s="8"/>
    </row>
    <row r="994" spans="2:5" x14ac:dyDescent="0.25">
      <c r="B994" s="99"/>
      <c r="C994" s="81"/>
      <c r="D994" s="3"/>
      <c r="E994" s="8"/>
    </row>
    <row r="995" spans="2:5" x14ac:dyDescent="0.25">
      <c r="B995" s="99"/>
      <c r="C995" s="81"/>
      <c r="D995" s="3"/>
      <c r="E995" s="8"/>
    </row>
    <row r="996" spans="2:5" x14ac:dyDescent="0.25">
      <c r="B996" s="99"/>
      <c r="C996" s="81"/>
      <c r="D996" s="3"/>
      <c r="E996" s="8"/>
    </row>
    <row r="997" spans="2:5" x14ac:dyDescent="0.25">
      <c r="B997" s="99"/>
      <c r="C997" s="81"/>
      <c r="D997" s="3"/>
      <c r="E997" s="8"/>
    </row>
    <row r="998" spans="2:5" x14ac:dyDescent="0.25">
      <c r="B998" s="99"/>
      <c r="C998" s="81"/>
      <c r="D998" s="3"/>
      <c r="E998" s="8"/>
    </row>
    <row r="999" spans="2:5" x14ac:dyDescent="0.25">
      <c r="B999" s="99"/>
      <c r="C999" s="81"/>
      <c r="D999" s="3"/>
      <c r="E999" s="8"/>
    </row>
    <row r="1000" spans="2:5" x14ac:dyDescent="0.25">
      <c r="B1000" s="99"/>
      <c r="C1000" s="81"/>
      <c r="D1000" s="3"/>
      <c r="E1000" s="8"/>
    </row>
    <row r="1001" spans="2:5" x14ac:dyDescent="0.25">
      <c r="B1001" s="99"/>
      <c r="C1001" s="81"/>
      <c r="D1001" s="3"/>
      <c r="E1001" s="8"/>
    </row>
    <row r="1002" spans="2:5" x14ac:dyDescent="0.25">
      <c r="B1002" s="99"/>
      <c r="C1002" s="81"/>
      <c r="D1002" s="3"/>
      <c r="E1002" s="8"/>
    </row>
    <row r="1003" spans="2:5" x14ac:dyDescent="0.25">
      <c r="B1003" s="99"/>
      <c r="C1003" s="81"/>
      <c r="D1003" s="3"/>
      <c r="E1003" s="8"/>
    </row>
    <row r="1004" spans="2:5" x14ac:dyDescent="0.25">
      <c r="B1004" s="99"/>
      <c r="C1004" s="81"/>
      <c r="D1004" s="3"/>
      <c r="E1004" s="8"/>
    </row>
    <row r="1005" spans="2:5" x14ac:dyDescent="0.25">
      <c r="B1005" s="99"/>
      <c r="C1005" s="81"/>
      <c r="D1005" s="3"/>
      <c r="E1005" s="8"/>
    </row>
    <row r="1006" spans="2:5" x14ac:dyDescent="0.25">
      <c r="B1006" s="99"/>
      <c r="C1006" s="81"/>
      <c r="D1006" s="3"/>
      <c r="E1006" s="8"/>
    </row>
    <row r="1007" spans="2:5" x14ac:dyDescent="0.25">
      <c r="B1007" s="99"/>
      <c r="C1007" s="81"/>
      <c r="D1007" s="3"/>
      <c r="E1007" s="8"/>
    </row>
    <row r="1008" spans="2:5" x14ac:dyDescent="0.25">
      <c r="B1008" s="99"/>
      <c r="C1008" s="81"/>
      <c r="D1008" s="3"/>
      <c r="E1008" s="8"/>
    </row>
    <row r="1009" spans="2:5" x14ac:dyDescent="0.25">
      <c r="B1009" s="99"/>
      <c r="C1009" s="81"/>
      <c r="D1009" s="3"/>
      <c r="E1009" s="8"/>
    </row>
    <row r="1010" spans="2:5" x14ac:dyDescent="0.25">
      <c r="B1010" s="99"/>
      <c r="C1010" s="81"/>
      <c r="D1010" s="3"/>
      <c r="E1010" s="8"/>
    </row>
    <row r="1011" spans="2:5" x14ac:dyDescent="0.25">
      <c r="B1011" s="99"/>
      <c r="C1011" s="81"/>
      <c r="D1011" s="3"/>
      <c r="E1011" s="8"/>
    </row>
    <row r="1012" spans="2:5" x14ac:dyDescent="0.25">
      <c r="B1012" s="99"/>
      <c r="C1012" s="81"/>
      <c r="D1012" s="3"/>
      <c r="E1012" s="8"/>
    </row>
    <row r="1013" spans="2:5" x14ac:dyDescent="0.25">
      <c r="B1013" s="99"/>
      <c r="C1013" s="81"/>
      <c r="D1013" s="3"/>
      <c r="E1013" s="8"/>
    </row>
    <row r="1014" spans="2:5" x14ac:dyDescent="0.25">
      <c r="B1014" s="99"/>
      <c r="C1014" s="81"/>
      <c r="D1014" s="3"/>
      <c r="E1014" s="8"/>
    </row>
    <row r="1015" spans="2:5" x14ac:dyDescent="0.25">
      <c r="B1015" s="99"/>
      <c r="C1015" s="81"/>
      <c r="D1015" s="3"/>
      <c r="E1015" s="8"/>
    </row>
    <row r="1016" spans="2:5" x14ac:dyDescent="0.25">
      <c r="B1016" s="99"/>
      <c r="C1016" s="81"/>
      <c r="D1016" s="3"/>
      <c r="E1016" s="8"/>
    </row>
    <row r="1017" spans="2:5" x14ac:dyDescent="0.25">
      <c r="B1017" s="99"/>
      <c r="C1017" s="81"/>
      <c r="D1017" s="3"/>
      <c r="E1017" s="8"/>
    </row>
    <row r="1018" spans="2:5" x14ac:dyDescent="0.25">
      <c r="B1018" s="99"/>
      <c r="C1018" s="81"/>
      <c r="D1018" s="3"/>
      <c r="E1018" s="8"/>
    </row>
    <row r="1019" spans="2:5" x14ac:dyDescent="0.25">
      <c r="B1019" s="99"/>
      <c r="C1019" s="81"/>
      <c r="D1019" s="3"/>
      <c r="E1019" s="8"/>
    </row>
    <row r="1020" spans="2:5" x14ac:dyDescent="0.25">
      <c r="B1020" s="99"/>
      <c r="C1020" s="81"/>
      <c r="D1020" s="3"/>
      <c r="E1020" s="8"/>
    </row>
    <row r="1021" spans="2:5" x14ac:dyDescent="0.25">
      <c r="B1021" s="99"/>
      <c r="C1021" s="81"/>
      <c r="D1021" s="3"/>
      <c r="E1021" s="8"/>
    </row>
    <row r="1022" spans="2:5" x14ac:dyDescent="0.25">
      <c r="B1022" s="99"/>
      <c r="C1022" s="81"/>
      <c r="D1022" s="3"/>
      <c r="E1022" s="8"/>
    </row>
    <row r="1023" spans="2:5" x14ac:dyDescent="0.25">
      <c r="B1023" s="99"/>
      <c r="C1023" s="81"/>
      <c r="D1023" s="3"/>
      <c r="E1023" s="8"/>
    </row>
    <row r="1024" spans="2:5" x14ac:dyDescent="0.25">
      <c r="B1024" s="99"/>
      <c r="C1024" s="81"/>
      <c r="D1024" s="3"/>
      <c r="E1024" s="8"/>
    </row>
    <row r="1025" spans="2:5" x14ac:dyDescent="0.25">
      <c r="B1025" s="99"/>
      <c r="C1025" s="81"/>
      <c r="D1025" s="3"/>
      <c r="E1025" s="8"/>
    </row>
    <row r="1026" spans="2:5" x14ac:dyDescent="0.25">
      <c r="B1026" s="99"/>
      <c r="C1026" s="81"/>
      <c r="D1026" s="3"/>
      <c r="E1026" s="8"/>
    </row>
    <row r="1027" spans="2:5" x14ac:dyDescent="0.25">
      <c r="B1027" s="99"/>
      <c r="C1027" s="81"/>
      <c r="D1027" s="3"/>
      <c r="E1027" s="8"/>
    </row>
    <row r="1028" spans="2:5" x14ac:dyDescent="0.25">
      <c r="B1028" s="99"/>
      <c r="C1028" s="81"/>
      <c r="D1028" s="3"/>
      <c r="E1028" s="8"/>
    </row>
    <row r="1029" spans="2:5" x14ac:dyDescent="0.25">
      <c r="B1029" s="99"/>
      <c r="C1029" s="81"/>
      <c r="D1029" s="3"/>
      <c r="E1029" s="8"/>
    </row>
    <row r="1030" spans="2:5" x14ac:dyDescent="0.25">
      <c r="B1030" s="99"/>
      <c r="C1030" s="81"/>
      <c r="D1030" s="3"/>
      <c r="E1030" s="8"/>
    </row>
    <row r="1031" spans="2:5" x14ac:dyDescent="0.25">
      <c r="B1031" s="99"/>
      <c r="C1031" s="81"/>
      <c r="D1031" s="3"/>
      <c r="E1031" s="8"/>
    </row>
    <row r="1032" spans="2:5" x14ac:dyDescent="0.25">
      <c r="B1032" s="99"/>
      <c r="C1032" s="81"/>
      <c r="D1032" s="3"/>
      <c r="E1032" s="8"/>
    </row>
    <row r="1033" spans="2:5" x14ac:dyDescent="0.25">
      <c r="B1033" s="99"/>
      <c r="C1033" s="81"/>
      <c r="D1033" s="3"/>
      <c r="E1033" s="8"/>
    </row>
    <row r="1034" spans="2:5" x14ac:dyDescent="0.25">
      <c r="B1034" s="99"/>
      <c r="C1034" s="81"/>
      <c r="D1034" s="3"/>
      <c r="E1034" s="8"/>
    </row>
    <row r="1035" spans="2:5" x14ac:dyDescent="0.25">
      <c r="B1035" s="99"/>
      <c r="C1035" s="81"/>
      <c r="D1035" s="3"/>
      <c r="E1035" s="8"/>
    </row>
    <row r="1036" spans="2:5" x14ac:dyDescent="0.25">
      <c r="B1036" s="99"/>
      <c r="C1036" s="81"/>
      <c r="D1036" s="3"/>
      <c r="E1036" s="8"/>
    </row>
    <row r="1037" spans="2:5" x14ac:dyDescent="0.25">
      <c r="B1037" s="99"/>
      <c r="C1037" s="81"/>
      <c r="D1037" s="3"/>
      <c r="E1037" s="8"/>
    </row>
    <row r="1038" spans="2:5" x14ac:dyDescent="0.25">
      <c r="B1038" s="99"/>
      <c r="C1038" s="81"/>
      <c r="D1038" s="3"/>
      <c r="E1038" s="8"/>
    </row>
    <row r="1039" spans="2:5" x14ac:dyDescent="0.25">
      <c r="B1039" s="99"/>
      <c r="C1039" s="81"/>
      <c r="D1039" s="3"/>
      <c r="E1039" s="8"/>
    </row>
    <row r="1040" spans="2:5" x14ac:dyDescent="0.25">
      <c r="B1040" s="99"/>
      <c r="C1040" s="81"/>
      <c r="D1040" s="3"/>
      <c r="E1040" s="8"/>
    </row>
    <row r="1041" spans="2:5" x14ac:dyDescent="0.25">
      <c r="B1041" s="99"/>
      <c r="C1041" s="81"/>
      <c r="D1041" s="3"/>
      <c r="E1041" s="8"/>
    </row>
    <row r="1042" spans="2:5" x14ac:dyDescent="0.25">
      <c r="B1042" s="99"/>
      <c r="C1042" s="81"/>
      <c r="D1042" s="3"/>
      <c r="E1042" s="8"/>
    </row>
    <row r="1043" spans="2:5" x14ac:dyDescent="0.25">
      <c r="B1043" s="99"/>
      <c r="C1043" s="81"/>
      <c r="D1043" s="3"/>
      <c r="E1043" s="8"/>
    </row>
    <row r="1044" spans="2:5" x14ac:dyDescent="0.25">
      <c r="B1044" s="99"/>
      <c r="C1044" s="81"/>
      <c r="D1044" s="3"/>
      <c r="E1044" s="8"/>
    </row>
    <row r="1045" spans="2:5" x14ac:dyDescent="0.25">
      <c r="B1045" s="99"/>
      <c r="C1045" s="81"/>
      <c r="D1045" s="3"/>
      <c r="E1045" s="8"/>
    </row>
    <row r="1046" spans="2:5" x14ac:dyDescent="0.25">
      <c r="B1046" s="99"/>
      <c r="C1046" s="81"/>
      <c r="D1046" s="3"/>
      <c r="E1046" s="8"/>
    </row>
    <row r="1047" spans="2:5" x14ac:dyDescent="0.25">
      <c r="B1047" s="99"/>
      <c r="C1047" s="81"/>
      <c r="D1047" s="3"/>
      <c r="E1047" s="8"/>
    </row>
    <row r="1048" spans="2:5" x14ac:dyDescent="0.25">
      <c r="B1048" s="99"/>
      <c r="C1048" s="81"/>
      <c r="D1048" s="3"/>
      <c r="E1048" s="8"/>
    </row>
    <row r="1049" spans="2:5" x14ac:dyDescent="0.25">
      <c r="B1049" s="99"/>
      <c r="C1049" s="81"/>
      <c r="D1049" s="3"/>
      <c r="E1049" s="8"/>
    </row>
    <row r="1050" spans="2:5" x14ac:dyDescent="0.25">
      <c r="B1050" s="99"/>
      <c r="C1050" s="81"/>
      <c r="D1050" s="3"/>
      <c r="E1050" s="8"/>
    </row>
    <row r="1051" spans="2:5" x14ac:dyDescent="0.25">
      <c r="B1051" s="99"/>
      <c r="C1051" s="81"/>
      <c r="D1051" s="3"/>
      <c r="E1051" s="8"/>
    </row>
    <row r="1052" spans="2:5" x14ac:dyDescent="0.25">
      <c r="B1052" s="99"/>
      <c r="C1052" s="81"/>
      <c r="D1052" s="3"/>
      <c r="E1052" s="8"/>
    </row>
    <row r="1053" spans="2:5" x14ac:dyDescent="0.25">
      <c r="B1053" s="99"/>
      <c r="C1053" s="81"/>
      <c r="D1053" s="3"/>
      <c r="E1053" s="8"/>
    </row>
    <row r="1054" spans="2:5" x14ac:dyDescent="0.25">
      <c r="B1054" s="99"/>
      <c r="C1054" s="81"/>
      <c r="D1054" s="3"/>
      <c r="E1054" s="8"/>
    </row>
    <row r="1055" spans="2:5" x14ac:dyDescent="0.25">
      <c r="B1055" s="99"/>
      <c r="C1055" s="81"/>
      <c r="D1055" s="3"/>
      <c r="E1055" s="8"/>
    </row>
    <row r="1056" spans="2:5" x14ac:dyDescent="0.25">
      <c r="B1056" s="99"/>
      <c r="C1056" s="81"/>
      <c r="D1056" s="3"/>
      <c r="E1056" s="8"/>
    </row>
    <row r="1057" spans="2:5" x14ac:dyDescent="0.25">
      <c r="B1057" s="99"/>
      <c r="C1057" s="81"/>
      <c r="D1057" s="3"/>
      <c r="E1057" s="8"/>
    </row>
    <row r="1058" spans="2:5" x14ac:dyDescent="0.25">
      <c r="B1058" s="99"/>
      <c r="C1058" s="81"/>
      <c r="D1058" s="3"/>
      <c r="E1058" s="8"/>
    </row>
    <row r="1059" spans="2:5" x14ac:dyDescent="0.25">
      <c r="B1059" s="99"/>
      <c r="C1059" s="81"/>
      <c r="D1059" s="3"/>
      <c r="E1059" s="8"/>
    </row>
    <row r="1060" spans="2:5" x14ac:dyDescent="0.25">
      <c r="B1060" s="99"/>
      <c r="C1060" s="81"/>
      <c r="D1060" s="3"/>
      <c r="E1060" s="8"/>
    </row>
    <row r="1061" spans="2:5" x14ac:dyDescent="0.25">
      <c r="B1061" s="99"/>
      <c r="C1061" s="81"/>
      <c r="D1061" s="3"/>
      <c r="E1061" s="8"/>
    </row>
    <row r="1062" spans="2:5" x14ac:dyDescent="0.25">
      <c r="B1062" s="99"/>
      <c r="C1062" s="81"/>
      <c r="D1062" s="3"/>
      <c r="E1062" s="8"/>
    </row>
    <row r="1063" spans="2:5" x14ac:dyDescent="0.25">
      <c r="B1063" s="99"/>
      <c r="C1063" s="81"/>
      <c r="D1063" s="3"/>
      <c r="E1063" s="8"/>
    </row>
    <row r="1064" spans="2:5" x14ac:dyDescent="0.25">
      <c r="B1064" s="99"/>
      <c r="C1064" s="81"/>
      <c r="D1064" s="3"/>
      <c r="E1064" s="8"/>
    </row>
    <row r="1065" spans="2:5" x14ac:dyDescent="0.25">
      <c r="B1065" s="99"/>
      <c r="C1065" s="81"/>
      <c r="D1065" s="3"/>
      <c r="E1065" s="8"/>
    </row>
    <row r="1066" spans="2:5" x14ac:dyDescent="0.25">
      <c r="B1066" s="99"/>
      <c r="C1066" s="81"/>
      <c r="D1066" s="3"/>
      <c r="E1066" s="8"/>
    </row>
    <row r="1067" spans="2:5" x14ac:dyDescent="0.25">
      <c r="B1067" s="99"/>
      <c r="C1067" s="81"/>
      <c r="D1067" s="3"/>
      <c r="E1067" s="8"/>
    </row>
    <row r="1068" spans="2:5" x14ac:dyDescent="0.25">
      <c r="B1068" s="99"/>
      <c r="C1068" s="81"/>
      <c r="D1068" s="3"/>
      <c r="E1068" s="8"/>
    </row>
    <row r="1069" spans="2:5" x14ac:dyDescent="0.25">
      <c r="B1069" s="99"/>
      <c r="C1069" s="81"/>
      <c r="D1069" s="3"/>
      <c r="E1069" s="8"/>
    </row>
    <row r="1070" spans="2:5" x14ac:dyDescent="0.25">
      <c r="B1070" s="99"/>
      <c r="C1070" s="81"/>
      <c r="D1070" s="3"/>
      <c r="E1070" s="8"/>
    </row>
    <row r="1071" spans="2:5" x14ac:dyDescent="0.25">
      <c r="B1071" s="99"/>
      <c r="C1071" s="81"/>
      <c r="D1071" s="3"/>
      <c r="E1071" s="8"/>
    </row>
    <row r="1072" spans="2:5" x14ac:dyDescent="0.25">
      <c r="B1072" s="99"/>
      <c r="C1072" s="81"/>
      <c r="D1072" s="3"/>
      <c r="E1072" s="8"/>
    </row>
    <row r="1073" spans="2:5" x14ac:dyDescent="0.25">
      <c r="B1073" s="99"/>
      <c r="C1073" s="81"/>
      <c r="D1073" s="3"/>
      <c r="E1073" s="8"/>
    </row>
    <row r="1074" spans="2:5" x14ac:dyDescent="0.25">
      <c r="B1074" s="99"/>
      <c r="C1074" s="81"/>
      <c r="D1074" s="3"/>
      <c r="E1074" s="8"/>
    </row>
    <row r="1075" spans="2:5" x14ac:dyDescent="0.25">
      <c r="B1075" s="99"/>
      <c r="C1075" s="81"/>
      <c r="D1075" s="3"/>
      <c r="E1075" s="8"/>
    </row>
    <row r="1076" spans="2:5" x14ac:dyDescent="0.25">
      <c r="B1076" s="99"/>
      <c r="C1076" s="81"/>
      <c r="D1076" s="3"/>
      <c r="E1076" s="8"/>
    </row>
    <row r="1077" spans="2:5" x14ac:dyDescent="0.25">
      <c r="B1077" s="99"/>
      <c r="C1077" s="81"/>
      <c r="D1077" s="3"/>
      <c r="E1077" s="8"/>
    </row>
    <row r="1078" spans="2:5" x14ac:dyDescent="0.25">
      <c r="B1078" s="99"/>
      <c r="C1078" s="81"/>
      <c r="D1078" s="3"/>
      <c r="E1078" s="8"/>
    </row>
    <row r="1079" spans="2:5" x14ac:dyDescent="0.25">
      <c r="B1079" s="99"/>
      <c r="C1079" s="81"/>
      <c r="D1079" s="3"/>
      <c r="E1079" s="8"/>
    </row>
    <row r="1080" spans="2:5" x14ac:dyDescent="0.25">
      <c r="B1080" s="99"/>
      <c r="C1080" s="81"/>
      <c r="D1080" s="3"/>
      <c r="E1080" s="8"/>
    </row>
    <row r="1081" spans="2:5" x14ac:dyDescent="0.25">
      <c r="B1081" s="99"/>
      <c r="C1081" s="81"/>
      <c r="D1081" s="3"/>
      <c r="E1081" s="8"/>
    </row>
    <row r="1082" spans="2:5" x14ac:dyDescent="0.25">
      <c r="B1082" s="99"/>
      <c r="C1082" s="81"/>
      <c r="D1082" s="3"/>
      <c r="E1082" s="8"/>
    </row>
    <row r="1083" spans="2:5" x14ac:dyDescent="0.25">
      <c r="B1083" s="99"/>
      <c r="C1083" s="81"/>
      <c r="D1083" s="3"/>
      <c r="E1083" s="8"/>
    </row>
    <row r="1084" spans="2:5" x14ac:dyDescent="0.25">
      <c r="B1084" s="99"/>
      <c r="C1084" s="81"/>
      <c r="D1084" s="3"/>
      <c r="E1084" s="8"/>
    </row>
    <row r="1085" spans="2:5" x14ac:dyDescent="0.25">
      <c r="B1085" s="99"/>
      <c r="C1085" s="81"/>
      <c r="D1085" s="3"/>
      <c r="E1085" s="8"/>
    </row>
    <row r="1086" spans="2:5" x14ac:dyDescent="0.25">
      <c r="B1086" s="99"/>
      <c r="C1086" s="81"/>
      <c r="D1086" s="3"/>
      <c r="E1086" s="8"/>
    </row>
    <row r="1087" spans="2:5" x14ac:dyDescent="0.25">
      <c r="B1087" s="99"/>
      <c r="C1087" s="81"/>
      <c r="D1087" s="3"/>
      <c r="E1087" s="8"/>
    </row>
    <row r="1088" spans="2:5" x14ac:dyDescent="0.25">
      <c r="B1088" s="99"/>
      <c r="C1088" s="81"/>
      <c r="D1088" s="3"/>
      <c r="E1088" s="8"/>
    </row>
    <row r="1089" spans="2:5" x14ac:dyDescent="0.25">
      <c r="B1089" s="99"/>
      <c r="C1089" s="81"/>
      <c r="D1089" s="3"/>
      <c r="E1089" s="8"/>
    </row>
    <row r="1090" spans="2:5" x14ac:dyDescent="0.25">
      <c r="B1090" s="99"/>
      <c r="C1090" s="81"/>
      <c r="D1090" s="3"/>
      <c r="E1090" s="8"/>
    </row>
    <row r="1091" spans="2:5" x14ac:dyDescent="0.25">
      <c r="B1091" s="99"/>
      <c r="C1091" s="81"/>
      <c r="D1091" s="3"/>
      <c r="E1091" s="8"/>
    </row>
    <row r="1092" spans="2:5" x14ac:dyDescent="0.25">
      <c r="B1092" s="99"/>
      <c r="C1092" s="81"/>
      <c r="D1092" s="3"/>
      <c r="E1092" s="8"/>
    </row>
    <row r="1093" spans="2:5" x14ac:dyDescent="0.25">
      <c r="B1093" s="99"/>
      <c r="C1093" s="81"/>
      <c r="D1093" s="3"/>
      <c r="E1093" s="8"/>
    </row>
    <row r="1094" spans="2:5" x14ac:dyDescent="0.25">
      <c r="B1094" s="99"/>
      <c r="C1094" s="81"/>
      <c r="D1094" s="3"/>
      <c r="E1094" s="8"/>
    </row>
    <row r="1095" spans="2:5" x14ac:dyDescent="0.25">
      <c r="B1095" s="99"/>
      <c r="C1095" s="81"/>
      <c r="D1095" s="3"/>
      <c r="E1095" s="8"/>
    </row>
    <row r="1096" spans="2:5" x14ac:dyDescent="0.25">
      <c r="B1096" s="99"/>
      <c r="C1096" s="81"/>
      <c r="D1096" s="3"/>
      <c r="E1096" s="8"/>
    </row>
    <row r="1097" spans="2:5" x14ac:dyDescent="0.25">
      <c r="B1097" s="99"/>
      <c r="C1097" s="81"/>
      <c r="D1097" s="3"/>
      <c r="E1097" s="8"/>
    </row>
    <row r="1098" spans="2:5" x14ac:dyDescent="0.25">
      <c r="B1098" s="99"/>
      <c r="C1098" s="81"/>
      <c r="D1098" s="3"/>
      <c r="E1098" s="8"/>
    </row>
    <row r="1099" spans="2:5" x14ac:dyDescent="0.25">
      <c r="B1099" s="99"/>
      <c r="C1099" s="81"/>
      <c r="D1099" s="3"/>
      <c r="E1099" s="8"/>
    </row>
    <row r="1100" spans="2:5" x14ac:dyDescent="0.25">
      <c r="B1100" s="99"/>
      <c r="C1100" s="81"/>
      <c r="D1100" s="3"/>
      <c r="E1100" s="8"/>
    </row>
    <row r="1101" spans="2:5" x14ac:dyDescent="0.25">
      <c r="B1101" s="99"/>
      <c r="C1101" s="81"/>
      <c r="D1101" s="3"/>
      <c r="E1101" s="8"/>
    </row>
    <row r="1102" spans="2:5" x14ac:dyDescent="0.25">
      <c r="B1102" s="99"/>
      <c r="C1102" s="81"/>
      <c r="D1102" s="3"/>
      <c r="E1102" s="8"/>
    </row>
    <row r="1103" spans="2:5" x14ac:dyDescent="0.25">
      <c r="B1103" s="99"/>
      <c r="C1103" s="81"/>
      <c r="D1103" s="3"/>
      <c r="E1103" s="8"/>
    </row>
    <row r="1104" spans="2:5" x14ac:dyDescent="0.25">
      <c r="B1104" s="99"/>
      <c r="C1104" s="81"/>
      <c r="D1104" s="3"/>
      <c r="E1104" s="8"/>
    </row>
    <row r="1105" spans="2:5" x14ac:dyDescent="0.25">
      <c r="B1105" s="99"/>
      <c r="C1105" s="81"/>
      <c r="D1105" s="3"/>
      <c r="E1105" s="8"/>
    </row>
    <row r="1106" spans="2:5" x14ac:dyDescent="0.25">
      <c r="B1106" s="99"/>
      <c r="C1106" s="81"/>
      <c r="D1106" s="3"/>
      <c r="E1106" s="8"/>
    </row>
    <row r="1107" spans="2:5" x14ac:dyDescent="0.25">
      <c r="B1107" s="99"/>
      <c r="C1107" s="81"/>
      <c r="D1107" s="3"/>
      <c r="E1107" s="8"/>
    </row>
    <row r="1108" spans="2:5" x14ac:dyDescent="0.25">
      <c r="B1108" s="99"/>
      <c r="C1108" s="81"/>
      <c r="D1108" s="3"/>
      <c r="E1108" s="8"/>
    </row>
    <row r="1109" spans="2:5" x14ac:dyDescent="0.25">
      <c r="B1109" s="99"/>
      <c r="C1109" s="81"/>
      <c r="D1109" s="3"/>
      <c r="E1109" s="8"/>
    </row>
    <row r="1110" spans="2:5" x14ac:dyDescent="0.25">
      <c r="B1110" s="99"/>
      <c r="C1110" s="81"/>
      <c r="D1110" s="3"/>
      <c r="E1110" s="8"/>
    </row>
    <row r="1111" spans="2:5" x14ac:dyDescent="0.25">
      <c r="B1111" s="99"/>
      <c r="C1111" s="81"/>
      <c r="D1111" s="3"/>
      <c r="E1111" s="8"/>
    </row>
    <row r="1112" spans="2:5" x14ac:dyDescent="0.25">
      <c r="B1112" s="99"/>
      <c r="C1112" s="81"/>
      <c r="D1112" s="3"/>
      <c r="E1112" s="8"/>
    </row>
    <row r="1113" spans="2:5" x14ac:dyDescent="0.25">
      <c r="B1113" s="99"/>
      <c r="C1113" s="81"/>
      <c r="D1113" s="3"/>
      <c r="E1113" s="8"/>
    </row>
    <row r="1114" spans="2:5" x14ac:dyDescent="0.25">
      <c r="B1114" s="99"/>
      <c r="C1114" s="81"/>
      <c r="D1114" s="3"/>
      <c r="E1114" s="8"/>
    </row>
    <row r="1115" spans="2:5" x14ac:dyDescent="0.25">
      <c r="B1115" s="99"/>
      <c r="C1115" s="81"/>
      <c r="D1115" s="3"/>
      <c r="E1115" s="8"/>
    </row>
    <row r="1116" spans="2:5" x14ac:dyDescent="0.25">
      <c r="B1116" s="99"/>
      <c r="C1116" s="81"/>
      <c r="D1116" s="3"/>
      <c r="E1116" s="8"/>
    </row>
    <row r="1117" spans="2:5" x14ac:dyDescent="0.25">
      <c r="B1117" s="99"/>
      <c r="C1117" s="81"/>
      <c r="D1117" s="3"/>
      <c r="E1117" s="8"/>
    </row>
    <row r="1118" spans="2:5" x14ac:dyDescent="0.25">
      <c r="B1118" s="99"/>
      <c r="C1118" s="81"/>
      <c r="D1118" s="3"/>
      <c r="E1118" s="8"/>
    </row>
    <row r="1119" spans="2:5" x14ac:dyDescent="0.25">
      <c r="B1119" s="99"/>
      <c r="C1119" s="81"/>
      <c r="D1119" s="3"/>
      <c r="E1119" s="8"/>
    </row>
    <row r="1120" spans="2:5" x14ac:dyDescent="0.25">
      <c r="B1120" s="99"/>
      <c r="C1120" s="81"/>
      <c r="D1120" s="3"/>
      <c r="E1120" s="8"/>
    </row>
    <row r="1121" spans="2:5" x14ac:dyDescent="0.25">
      <c r="B1121" s="99"/>
      <c r="C1121" s="81"/>
      <c r="D1121" s="3"/>
      <c r="E1121" s="8"/>
    </row>
    <row r="1122" spans="2:5" x14ac:dyDescent="0.25">
      <c r="B1122" s="99"/>
      <c r="C1122" s="81"/>
      <c r="D1122" s="3"/>
      <c r="E1122" s="8"/>
    </row>
    <row r="1123" spans="2:5" x14ac:dyDescent="0.25">
      <c r="B1123" s="99"/>
      <c r="C1123" s="81"/>
      <c r="D1123" s="3"/>
      <c r="E1123" s="8"/>
    </row>
    <row r="1124" spans="2:5" x14ac:dyDescent="0.25">
      <c r="B1124" s="99"/>
      <c r="C1124" s="81"/>
      <c r="D1124" s="3"/>
      <c r="E1124" s="8"/>
    </row>
    <row r="1125" spans="2:5" x14ac:dyDescent="0.25">
      <c r="B1125" s="99"/>
      <c r="C1125" s="81"/>
      <c r="D1125" s="3"/>
      <c r="E1125" s="8"/>
    </row>
    <row r="1126" spans="2:5" x14ac:dyDescent="0.25">
      <c r="B1126" s="99"/>
      <c r="C1126" s="81"/>
      <c r="D1126" s="3"/>
      <c r="E1126" s="8"/>
    </row>
    <row r="1127" spans="2:5" x14ac:dyDescent="0.25">
      <c r="B1127" s="99"/>
      <c r="C1127" s="81"/>
      <c r="D1127" s="3"/>
      <c r="E1127" s="8"/>
    </row>
    <row r="1128" spans="2:5" x14ac:dyDescent="0.25">
      <c r="B1128" s="99"/>
      <c r="C1128" s="81"/>
      <c r="D1128" s="3"/>
      <c r="E1128" s="8"/>
    </row>
    <row r="1129" spans="2:5" x14ac:dyDescent="0.25">
      <c r="B1129" s="99"/>
      <c r="C1129" s="81"/>
      <c r="D1129" s="3"/>
      <c r="E1129" s="8"/>
    </row>
    <row r="1130" spans="2:5" x14ac:dyDescent="0.25">
      <c r="B1130" s="99"/>
      <c r="C1130" s="81"/>
      <c r="D1130" s="3"/>
      <c r="E1130" s="8"/>
    </row>
    <row r="1131" spans="2:5" x14ac:dyDescent="0.25">
      <c r="B1131" s="99"/>
      <c r="C1131" s="81"/>
      <c r="D1131" s="3"/>
      <c r="E1131" s="8"/>
    </row>
    <row r="1132" spans="2:5" x14ac:dyDescent="0.25">
      <c r="B1132" s="99"/>
      <c r="C1132" s="81"/>
      <c r="D1132" s="3"/>
      <c r="E1132" s="8"/>
    </row>
    <row r="1133" spans="2:5" x14ac:dyDescent="0.25">
      <c r="B1133" s="99"/>
      <c r="C1133" s="81"/>
      <c r="D1133" s="3"/>
      <c r="E1133" s="8"/>
    </row>
    <row r="1134" spans="2:5" x14ac:dyDescent="0.25">
      <c r="B1134" s="99"/>
      <c r="C1134" s="81"/>
      <c r="D1134" s="3"/>
      <c r="E1134" s="8"/>
    </row>
    <row r="1135" spans="2:5" x14ac:dyDescent="0.25">
      <c r="B1135" s="99"/>
      <c r="C1135" s="81"/>
      <c r="D1135" s="3"/>
      <c r="E1135" s="8"/>
    </row>
    <row r="1136" spans="2:5" x14ac:dyDescent="0.25">
      <c r="B1136" s="99"/>
      <c r="C1136" s="81"/>
      <c r="D1136" s="3"/>
      <c r="E1136" s="8"/>
    </row>
    <row r="1137" spans="2:5" x14ac:dyDescent="0.25">
      <c r="B1137" s="99"/>
      <c r="C1137" s="81"/>
      <c r="D1137" s="3"/>
      <c r="E1137" s="8"/>
    </row>
    <row r="1138" spans="2:5" x14ac:dyDescent="0.25">
      <c r="B1138" s="99"/>
      <c r="C1138" s="81"/>
      <c r="D1138" s="3"/>
      <c r="E1138" s="8"/>
    </row>
    <row r="1139" spans="2:5" x14ac:dyDescent="0.25">
      <c r="B1139" s="99"/>
      <c r="C1139" s="81"/>
      <c r="D1139" s="3"/>
      <c r="E1139" s="8"/>
    </row>
    <row r="1140" spans="2:5" x14ac:dyDescent="0.25">
      <c r="B1140" s="99"/>
      <c r="C1140" s="81"/>
      <c r="D1140" s="3"/>
      <c r="E1140" s="8"/>
    </row>
    <row r="1141" spans="2:5" x14ac:dyDescent="0.25">
      <c r="B1141" s="99"/>
      <c r="C1141" s="81"/>
      <c r="D1141" s="3"/>
      <c r="E1141" s="8"/>
    </row>
    <row r="1142" spans="2:5" x14ac:dyDescent="0.25">
      <c r="B1142" s="99"/>
      <c r="C1142" s="81"/>
      <c r="D1142" s="3"/>
      <c r="E1142" s="8"/>
    </row>
    <row r="1143" spans="2:5" x14ac:dyDescent="0.25">
      <c r="B1143" s="99"/>
      <c r="C1143" s="81"/>
      <c r="D1143" s="3"/>
      <c r="E1143" s="8"/>
    </row>
    <row r="1144" spans="2:5" x14ac:dyDescent="0.25">
      <c r="B1144" s="99"/>
      <c r="C1144" s="81"/>
      <c r="D1144" s="3"/>
      <c r="E1144" s="8"/>
    </row>
    <row r="1145" spans="2:5" x14ac:dyDescent="0.25">
      <c r="B1145" s="99"/>
      <c r="C1145" s="81"/>
      <c r="D1145" s="3"/>
      <c r="E1145" s="8"/>
    </row>
    <row r="1146" spans="2:5" x14ac:dyDescent="0.25">
      <c r="B1146" s="99"/>
      <c r="C1146" s="81"/>
      <c r="D1146" s="3"/>
      <c r="E1146" s="8"/>
    </row>
    <row r="1147" spans="2:5" x14ac:dyDescent="0.25">
      <c r="B1147" s="99"/>
      <c r="C1147" s="81"/>
      <c r="D1147" s="3"/>
      <c r="E1147" s="8"/>
    </row>
    <row r="1148" spans="2:5" x14ac:dyDescent="0.25">
      <c r="B1148" s="99"/>
      <c r="C1148" s="81"/>
      <c r="D1148" s="3"/>
      <c r="E1148" s="8"/>
    </row>
    <row r="1149" spans="2:5" x14ac:dyDescent="0.25">
      <c r="B1149" s="99"/>
      <c r="C1149" s="81"/>
      <c r="D1149" s="3"/>
      <c r="E1149" s="8"/>
    </row>
    <row r="1150" spans="2:5" x14ac:dyDescent="0.25">
      <c r="B1150" s="99"/>
      <c r="C1150" s="81"/>
      <c r="D1150" s="3"/>
      <c r="E1150" s="8"/>
    </row>
    <row r="1151" spans="2:5" x14ac:dyDescent="0.25">
      <c r="B1151" s="99"/>
      <c r="C1151" s="81"/>
      <c r="D1151" s="3"/>
      <c r="E1151" s="8"/>
    </row>
    <row r="1152" spans="2:5" x14ac:dyDescent="0.25">
      <c r="B1152" s="99"/>
      <c r="C1152" s="81"/>
      <c r="D1152" s="3"/>
      <c r="E1152" s="8"/>
    </row>
    <row r="1153" spans="2:5" x14ac:dyDescent="0.25">
      <c r="B1153" s="99"/>
      <c r="C1153" s="81"/>
      <c r="D1153" s="3"/>
      <c r="E1153" s="8"/>
    </row>
    <row r="1154" spans="2:5" x14ac:dyDescent="0.25">
      <c r="B1154" s="99"/>
      <c r="C1154" s="81"/>
      <c r="D1154" s="3"/>
      <c r="E1154" s="8"/>
    </row>
    <row r="1155" spans="2:5" x14ac:dyDescent="0.25">
      <c r="B1155" s="99"/>
      <c r="C1155" s="81"/>
      <c r="D1155" s="3"/>
      <c r="E1155" s="8"/>
    </row>
    <row r="1156" spans="2:5" x14ac:dyDescent="0.25">
      <c r="B1156" s="99"/>
      <c r="C1156" s="81"/>
      <c r="D1156" s="3"/>
      <c r="E1156" s="8"/>
    </row>
    <row r="1157" spans="2:5" x14ac:dyDescent="0.25">
      <c r="B1157" s="99"/>
      <c r="C1157" s="81"/>
      <c r="D1157" s="3"/>
      <c r="E1157" s="8"/>
    </row>
    <row r="1158" spans="2:5" x14ac:dyDescent="0.25">
      <c r="B1158" s="99"/>
      <c r="C1158" s="81"/>
      <c r="D1158" s="3"/>
      <c r="E1158" s="8"/>
    </row>
    <row r="1159" spans="2:5" x14ac:dyDescent="0.25">
      <c r="B1159" s="99"/>
      <c r="C1159" s="81"/>
      <c r="D1159" s="3"/>
      <c r="E1159" s="8"/>
    </row>
    <row r="1160" spans="2:5" x14ac:dyDescent="0.25">
      <c r="B1160" s="99"/>
      <c r="C1160" s="81"/>
      <c r="D1160" s="3"/>
      <c r="E1160" s="8"/>
    </row>
    <row r="1161" spans="2:5" x14ac:dyDescent="0.25">
      <c r="B1161" s="99"/>
      <c r="C1161" s="81"/>
      <c r="D1161" s="3"/>
      <c r="E1161" s="8"/>
    </row>
    <row r="1162" spans="2:5" x14ac:dyDescent="0.25">
      <c r="B1162" s="99"/>
      <c r="C1162" s="81"/>
      <c r="D1162" s="3"/>
      <c r="E1162" s="8"/>
    </row>
    <row r="1163" spans="2:5" x14ac:dyDescent="0.25">
      <c r="B1163" s="99"/>
      <c r="C1163" s="81"/>
      <c r="D1163" s="3"/>
      <c r="E1163" s="8"/>
    </row>
    <row r="1164" spans="2:5" x14ac:dyDescent="0.25">
      <c r="B1164" s="99"/>
      <c r="C1164" s="81"/>
      <c r="D1164" s="3"/>
      <c r="E1164" s="8"/>
    </row>
    <row r="1165" spans="2:5" x14ac:dyDescent="0.25">
      <c r="B1165" s="99"/>
      <c r="C1165" s="81"/>
      <c r="D1165" s="3"/>
      <c r="E1165" s="8"/>
    </row>
    <row r="1166" spans="2:5" x14ac:dyDescent="0.25">
      <c r="B1166" s="99"/>
      <c r="C1166" s="81"/>
      <c r="D1166" s="3"/>
      <c r="E1166" s="8"/>
    </row>
    <row r="1167" spans="2:5" x14ac:dyDescent="0.25">
      <c r="B1167" s="99"/>
      <c r="C1167" s="81"/>
      <c r="D1167" s="3"/>
      <c r="E1167" s="8"/>
    </row>
    <row r="1168" spans="2:5" x14ac:dyDescent="0.25">
      <c r="B1168" s="99"/>
      <c r="C1168" s="81"/>
      <c r="D1168" s="3"/>
      <c r="E1168" s="8"/>
    </row>
    <row r="1169" spans="2:5" x14ac:dyDescent="0.25">
      <c r="B1169" s="99"/>
      <c r="C1169" s="81"/>
      <c r="D1169" s="3"/>
      <c r="E1169" s="8"/>
    </row>
    <row r="1170" spans="2:5" x14ac:dyDescent="0.25">
      <c r="B1170" s="99"/>
      <c r="C1170" s="81"/>
      <c r="D1170" s="3"/>
      <c r="E1170" s="8"/>
    </row>
    <row r="1171" spans="2:5" x14ac:dyDescent="0.25">
      <c r="B1171" s="99"/>
      <c r="C1171" s="81"/>
      <c r="D1171" s="3"/>
      <c r="E1171" s="8"/>
    </row>
    <row r="1172" spans="2:5" x14ac:dyDescent="0.25">
      <c r="B1172" s="99"/>
      <c r="C1172" s="81"/>
      <c r="D1172" s="3"/>
      <c r="E1172" s="8"/>
    </row>
    <row r="1173" spans="2:5" x14ac:dyDescent="0.25">
      <c r="B1173" s="99"/>
      <c r="C1173" s="81"/>
      <c r="D1173" s="3"/>
      <c r="E1173" s="8"/>
    </row>
    <row r="1174" spans="2:5" x14ac:dyDescent="0.25">
      <c r="B1174" s="99"/>
      <c r="C1174" s="81"/>
      <c r="D1174" s="3"/>
      <c r="E1174" s="8"/>
    </row>
    <row r="1175" spans="2:5" x14ac:dyDescent="0.25">
      <c r="B1175" s="99"/>
      <c r="C1175" s="81"/>
      <c r="D1175" s="3"/>
      <c r="E1175" s="8"/>
    </row>
    <row r="1176" spans="2:5" x14ac:dyDescent="0.25">
      <c r="B1176" s="99"/>
      <c r="C1176" s="81"/>
      <c r="D1176" s="3"/>
      <c r="E1176" s="8"/>
    </row>
    <row r="1177" spans="2:5" x14ac:dyDescent="0.25">
      <c r="B1177" s="99"/>
      <c r="C1177" s="81"/>
      <c r="D1177" s="3"/>
      <c r="E1177" s="8"/>
    </row>
    <row r="1178" spans="2:5" x14ac:dyDescent="0.25">
      <c r="B1178" s="99"/>
      <c r="C1178" s="81"/>
      <c r="D1178" s="3"/>
      <c r="E1178" s="8"/>
    </row>
    <row r="1179" spans="2:5" x14ac:dyDescent="0.25">
      <c r="B1179" s="99"/>
      <c r="C1179" s="81"/>
      <c r="D1179" s="3"/>
      <c r="E1179" s="8"/>
    </row>
    <row r="1180" spans="2:5" x14ac:dyDescent="0.25">
      <c r="B1180" s="99"/>
      <c r="C1180" s="81"/>
      <c r="D1180" s="3"/>
      <c r="E1180" s="8"/>
    </row>
    <row r="1181" spans="2:5" x14ac:dyDescent="0.25">
      <c r="B1181" s="99"/>
      <c r="C1181" s="81"/>
      <c r="D1181" s="3"/>
      <c r="E1181" s="8"/>
    </row>
    <row r="1182" spans="2:5" x14ac:dyDescent="0.25">
      <c r="B1182" s="99"/>
      <c r="C1182" s="81"/>
      <c r="D1182" s="3"/>
      <c r="E1182" s="8"/>
    </row>
    <row r="1183" spans="2:5" x14ac:dyDescent="0.25">
      <c r="B1183" s="99"/>
      <c r="C1183" s="81"/>
      <c r="D1183" s="3"/>
      <c r="E1183" s="8"/>
    </row>
    <row r="1184" spans="2:5" x14ac:dyDescent="0.25">
      <c r="B1184" s="99"/>
      <c r="C1184" s="81"/>
      <c r="D1184" s="3"/>
      <c r="E1184" s="8"/>
    </row>
    <row r="1185" spans="2:5" x14ac:dyDescent="0.25">
      <c r="B1185" s="99"/>
      <c r="C1185" s="81"/>
      <c r="D1185" s="3"/>
      <c r="E1185" s="8"/>
    </row>
    <row r="1186" spans="2:5" x14ac:dyDescent="0.25">
      <c r="B1186" s="99"/>
      <c r="C1186" s="81"/>
      <c r="D1186" s="3"/>
      <c r="E1186" s="8"/>
    </row>
    <row r="1187" spans="2:5" x14ac:dyDescent="0.25">
      <c r="B1187" s="99"/>
      <c r="C1187" s="81"/>
      <c r="D1187" s="3"/>
      <c r="E1187" s="8"/>
    </row>
    <row r="1188" spans="2:5" x14ac:dyDescent="0.25">
      <c r="B1188" s="99"/>
      <c r="C1188" s="81"/>
      <c r="D1188" s="3"/>
      <c r="E1188" s="8"/>
    </row>
    <row r="1189" spans="2:5" x14ac:dyDescent="0.25">
      <c r="B1189" s="99"/>
      <c r="C1189" s="81"/>
      <c r="D1189" s="3"/>
      <c r="E1189" s="8"/>
    </row>
    <row r="1190" spans="2:5" x14ac:dyDescent="0.25">
      <c r="B1190" s="99"/>
      <c r="C1190" s="81"/>
      <c r="D1190" s="3"/>
      <c r="E1190" s="8"/>
    </row>
    <row r="1191" spans="2:5" x14ac:dyDescent="0.25">
      <c r="B1191" s="99"/>
      <c r="C1191" s="81"/>
      <c r="D1191" s="3"/>
      <c r="E1191" s="8"/>
    </row>
    <row r="1192" spans="2:5" x14ac:dyDescent="0.25">
      <c r="B1192" s="99"/>
      <c r="C1192" s="81"/>
      <c r="D1192" s="3"/>
      <c r="E1192" s="8"/>
    </row>
    <row r="1193" spans="2:5" x14ac:dyDescent="0.25">
      <c r="B1193" s="99"/>
      <c r="C1193" s="81"/>
      <c r="D1193" s="3"/>
      <c r="E1193" s="8"/>
    </row>
    <row r="1194" spans="2:5" x14ac:dyDescent="0.25">
      <c r="B1194" s="99"/>
      <c r="C1194" s="81"/>
      <c r="D1194" s="3"/>
      <c r="E1194" s="8"/>
    </row>
    <row r="1195" spans="2:5" x14ac:dyDescent="0.25">
      <c r="B1195" s="99"/>
      <c r="C1195" s="81"/>
      <c r="D1195" s="3"/>
      <c r="E1195" s="8"/>
    </row>
    <row r="1196" spans="2:5" x14ac:dyDescent="0.25">
      <c r="B1196" s="99"/>
      <c r="C1196" s="81"/>
      <c r="D1196" s="3"/>
      <c r="E1196" s="8"/>
    </row>
    <row r="1197" spans="2:5" x14ac:dyDescent="0.25">
      <c r="B1197" s="99"/>
      <c r="C1197" s="81"/>
      <c r="D1197" s="3"/>
      <c r="E1197" s="8"/>
    </row>
    <row r="1198" spans="2:5" x14ac:dyDescent="0.25">
      <c r="B1198" s="99"/>
      <c r="C1198" s="81"/>
      <c r="D1198" s="3"/>
      <c r="E1198" s="8"/>
    </row>
    <row r="1199" spans="2:5" x14ac:dyDescent="0.25">
      <c r="B1199" s="99"/>
      <c r="C1199" s="81"/>
      <c r="D1199" s="3"/>
      <c r="E1199" s="8"/>
    </row>
  </sheetData>
  <sortState xmlns:xlrd2="http://schemas.microsoft.com/office/spreadsheetml/2017/richdata2" ref="C5:E80">
    <sortCondition ref="C5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ub_GetSumData_ASPEN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1885950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ub_ClearSumData_ASPEN">
                <anchor moveWithCells="1" sizeWithCells="1">
                  <from>
                    <xdr:col>0</xdr:col>
                    <xdr:colOff>19050</xdr:colOff>
                    <xdr:row>1</xdr:row>
                    <xdr:rowOff>9525</xdr:rowOff>
                  </from>
                  <to>
                    <xdr:col>0</xdr:col>
                    <xdr:colOff>1885950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4">
    <tabColor theme="0" tint="-0.14999847407452621"/>
  </sheetPr>
  <dimension ref="A1:T12"/>
  <sheetViews>
    <sheetView workbookViewId="0">
      <selection sqref="A1:T1"/>
    </sheetView>
  </sheetViews>
  <sheetFormatPr defaultRowHeight="15" x14ac:dyDescent="0.25"/>
  <cols>
    <col min="1" max="1" width="8" bestFit="1" customWidth="1"/>
    <col min="2" max="2" width="17.42578125" bestFit="1" customWidth="1"/>
    <col min="3" max="3" width="17.85546875" bestFit="1" customWidth="1"/>
    <col min="4" max="4" width="25.7109375" bestFit="1" customWidth="1"/>
    <col min="5" max="5" width="20.28515625" customWidth="1"/>
    <col min="6" max="6" width="25.7109375" bestFit="1" customWidth="1"/>
    <col min="7" max="11" width="20.28515625" customWidth="1"/>
    <col min="12" max="12" width="11.85546875" bestFit="1" customWidth="1"/>
    <col min="13" max="13" width="11.5703125" bestFit="1" customWidth="1"/>
    <col min="14" max="14" width="12.85546875" bestFit="1" customWidth="1"/>
    <col min="15" max="15" width="19.85546875" bestFit="1" customWidth="1"/>
    <col min="16" max="16" width="9.85546875" bestFit="1" customWidth="1"/>
    <col min="17" max="17" width="14.28515625" bestFit="1" customWidth="1"/>
    <col min="18" max="18" width="10.5703125" bestFit="1" customWidth="1"/>
    <col min="19" max="19" width="13.140625" bestFit="1" customWidth="1"/>
    <col min="20" max="20" width="13.42578125" bestFit="1" customWidth="1"/>
  </cols>
  <sheetData>
    <row r="1" spans="1:20" ht="19.5" thickBot="1" x14ac:dyDescent="0.35">
      <c r="A1" s="595" t="s">
        <v>228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  <c r="O1" s="596"/>
      <c r="P1" s="596"/>
      <c r="Q1" s="596"/>
      <c r="R1" s="596"/>
      <c r="S1" s="596"/>
      <c r="T1" s="597"/>
    </row>
    <row r="2" spans="1:20" ht="15.75" thickBot="1" x14ac:dyDescent="0.3">
      <c r="A2" s="613" t="s">
        <v>198</v>
      </c>
      <c r="B2" s="607" t="s">
        <v>199</v>
      </c>
      <c r="C2" s="607" t="s">
        <v>200</v>
      </c>
      <c r="D2" s="592" t="s">
        <v>201</v>
      </c>
      <c r="E2" s="593"/>
      <c r="F2" s="593"/>
      <c r="G2" s="594"/>
      <c r="H2" s="592" t="s">
        <v>202</v>
      </c>
      <c r="I2" s="593"/>
      <c r="J2" s="593"/>
      <c r="K2" s="594"/>
      <c r="L2" s="607" t="s">
        <v>203</v>
      </c>
      <c r="M2" s="607" t="s">
        <v>204</v>
      </c>
      <c r="N2" s="607" t="s">
        <v>205</v>
      </c>
      <c r="O2" s="601" t="s">
        <v>227</v>
      </c>
      <c r="P2" s="602"/>
      <c r="Q2" s="602"/>
      <c r="R2" s="603"/>
      <c r="S2" s="610" t="s">
        <v>206</v>
      </c>
      <c r="T2" s="598" t="s">
        <v>226</v>
      </c>
    </row>
    <row r="3" spans="1:20" ht="15.75" thickBot="1" x14ac:dyDescent="0.3">
      <c r="A3" s="614"/>
      <c r="B3" s="608"/>
      <c r="C3" s="608"/>
      <c r="D3" s="592" t="s">
        <v>207</v>
      </c>
      <c r="E3" s="594"/>
      <c r="F3" s="592" t="s">
        <v>208</v>
      </c>
      <c r="G3" s="594"/>
      <c r="H3" s="592" t="s">
        <v>207</v>
      </c>
      <c r="I3" s="594"/>
      <c r="J3" s="592" t="s">
        <v>208</v>
      </c>
      <c r="K3" s="594"/>
      <c r="L3" s="608"/>
      <c r="M3" s="608"/>
      <c r="N3" s="608"/>
      <c r="O3" s="604"/>
      <c r="P3" s="605"/>
      <c r="Q3" s="605"/>
      <c r="R3" s="606"/>
      <c r="S3" s="611"/>
      <c r="T3" s="599"/>
    </row>
    <row r="4" spans="1:20" ht="15.75" thickBot="1" x14ac:dyDescent="0.3">
      <c r="A4" s="615"/>
      <c r="B4" s="609"/>
      <c r="C4" s="609"/>
      <c r="D4" s="94" t="s">
        <v>209</v>
      </c>
      <c r="E4" s="95" t="s">
        <v>210</v>
      </c>
      <c r="F4" s="94" t="s">
        <v>209</v>
      </c>
      <c r="G4" s="95" t="s">
        <v>210</v>
      </c>
      <c r="H4" s="94" t="s">
        <v>209</v>
      </c>
      <c r="I4" s="95" t="s">
        <v>210</v>
      </c>
      <c r="J4" s="94" t="s">
        <v>209</v>
      </c>
      <c r="K4" s="95" t="s">
        <v>210</v>
      </c>
      <c r="L4" s="609"/>
      <c r="M4" s="609"/>
      <c r="N4" s="609"/>
      <c r="O4" s="96" t="s">
        <v>209</v>
      </c>
      <c r="P4" s="97" t="s">
        <v>209</v>
      </c>
      <c r="Q4" s="98" t="s">
        <v>211</v>
      </c>
      <c r="R4" s="95" t="s">
        <v>212</v>
      </c>
      <c r="S4" s="612"/>
      <c r="T4" s="600"/>
    </row>
    <row r="5" spans="1:20" x14ac:dyDescent="0.25">
      <c r="A5" s="99" t="s">
        <v>213</v>
      </c>
      <c r="B5" s="108">
        <v>144</v>
      </c>
      <c r="C5" s="100">
        <f>B5*0.000293*9/5</f>
        <v>7.5945600000000002E-2</v>
      </c>
      <c r="D5" s="81" t="s">
        <v>184</v>
      </c>
      <c r="E5" s="315">
        <f>VLOOKUP(D5,STREAMDATA,2, FALSE)</f>
        <v>29.596879399999978</v>
      </c>
      <c r="F5" s="81" t="s">
        <v>185</v>
      </c>
      <c r="G5" s="315">
        <f>VLOOKUP(F5,STREAMDATA,2, FALSE)</f>
        <v>305.21109200000001</v>
      </c>
      <c r="H5" s="81" t="s">
        <v>189</v>
      </c>
      <c r="I5" s="315">
        <f>VLOOKUP(H5,STREAMDATA,2, FALSE)</f>
        <v>349.99945500000001</v>
      </c>
      <c r="J5" s="81" t="s">
        <v>190</v>
      </c>
      <c r="K5" s="315">
        <f>VLOOKUP(J5,STREAMDATA,2, FALSE)</f>
        <v>115</v>
      </c>
      <c r="L5" s="317">
        <f>$E5-$K5</f>
        <v>-85.403120600000022</v>
      </c>
      <c r="M5" s="317">
        <f>$G5-$I5</f>
        <v>-44.788363000000004</v>
      </c>
      <c r="N5" s="317">
        <f>(M5-L5)/LN(M5/L5)</f>
        <v>-62.926247080164089</v>
      </c>
      <c r="O5" s="81" t="s">
        <v>214</v>
      </c>
      <c r="P5" s="3" t="s">
        <v>215</v>
      </c>
      <c r="Q5" s="120"/>
      <c r="R5" s="324">
        <f>VLOOKUP(P5, STREAMDATA, 2, FALSE) - VLOOKUP(O5, STREAMDATA, 2, FALSE)</f>
        <v>23094.585000000021</v>
      </c>
      <c r="S5" s="331">
        <f>-R5/(C5*N5)</f>
        <v>4832.5428523389801</v>
      </c>
      <c r="T5" s="329">
        <f>S5*0.0929</f>
        <v>448.94323098229125</v>
      </c>
    </row>
    <row r="6" spans="1:20" x14ac:dyDescent="0.25">
      <c r="A6" s="101" t="s">
        <v>216</v>
      </c>
      <c r="B6" s="109">
        <v>154</v>
      </c>
      <c r="C6" s="102">
        <f t="shared" ref="C6:C8" si="0">B6*0.000293*9/5</f>
        <v>8.1219600000000003E-2</v>
      </c>
      <c r="D6" s="103" t="s">
        <v>185</v>
      </c>
      <c r="E6" s="315">
        <f>VLOOKUP(D6,STREAMDATA,2, FALSE)</f>
        <v>305.21109200000001</v>
      </c>
      <c r="F6" s="103" t="s">
        <v>186</v>
      </c>
      <c r="G6" s="316">
        <f>VLOOKUP(F6,STREAMDATA,2, FALSE)</f>
        <v>350</v>
      </c>
      <c r="H6" s="366" t="s">
        <v>598</v>
      </c>
      <c r="I6" s="367">
        <v>380</v>
      </c>
      <c r="J6" s="366" t="s">
        <v>598</v>
      </c>
      <c r="K6" s="367">
        <v>350</v>
      </c>
      <c r="L6" s="318">
        <f t="shared" ref="L6:L8" si="1">$E6-$K6</f>
        <v>-44.788907999999992</v>
      </c>
      <c r="M6" s="318">
        <f t="shared" ref="M6:M8" si="2">$G6-$I6</f>
        <v>-30</v>
      </c>
      <c r="N6" s="318">
        <f t="shared" ref="N6:N8" si="3">(M6-L6)/LN(M6/L6)</f>
        <v>-36.901866974412606</v>
      </c>
      <c r="O6" s="103" t="s">
        <v>181</v>
      </c>
      <c r="P6" s="104"/>
      <c r="Q6" s="322">
        <f>-VLOOKUP(O6, STREAMDATA, 2, FALSE)</f>
        <v>6.1794779799999997</v>
      </c>
      <c r="R6" s="325">
        <f>Q6*1163</f>
        <v>7186.7328907399997</v>
      </c>
      <c r="S6" s="332">
        <f>-R6/(C6*N6)</f>
        <v>2397.8516929138709</v>
      </c>
      <c r="T6" s="329">
        <f t="shared" ref="T6:T7" si="4">S6*0.0929</f>
        <v>222.76042227169859</v>
      </c>
    </row>
    <row r="7" spans="1:20" x14ac:dyDescent="0.25">
      <c r="A7" s="99" t="s">
        <v>217</v>
      </c>
      <c r="B7" s="109">
        <v>95</v>
      </c>
      <c r="C7" s="100">
        <f t="shared" si="0"/>
        <v>5.0103000000000009E-2</v>
      </c>
      <c r="D7" s="366" t="s">
        <v>3</v>
      </c>
      <c r="E7" s="367">
        <v>90</v>
      </c>
      <c r="F7" s="366" t="s">
        <v>3</v>
      </c>
      <c r="G7" s="367">
        <v>100</v>
      </c>
      <c r="H7" s="81" t="s">
        <v>187</v>
      </c>
      <c r="I7" s="315">
        <f>VLOOKUP(H7, STREAMDATA, 2, FALSE)</f>
        <v>349.99945500000001</v>
      </c>
      <c r="J7" s="81" t="s">
        <v>188</v>
      </c>
      <c r="K7" s="315">
        <f>VLOOKUP(J7, STREAMDATA, 2, FALSE)</f>
        <v>240</v>
      </c>
      <c r="L7" s="317">
        <f t="shared" si="1"/>
        <v>-150</v>
      </c>
      <c r="M7" s="317">
        <f t="shared" si="2"/>
        <v>-249.99945500000001</v>
      </c>
      <c r="N7" s="317">
        <f t="shared" si="3"/>
        <v>-195.76128742884231</v>
      </c>
      <c r="O7" s="81" t="s">
        <v>182</v>
      </c>
      <c r="P7" s="3"/>
      <c r="Q7" s="321">
        <f>VLOOKUP(O7, STREAMDATA, 2, FALSE)</f>
        <v>0.474886207</v>
      </c>
      <c r="R7" s="324">
        <f>Q7*1163</f>
        <v>552.29265874099997</v>
      </c>
      <c r="S7" s="332">
        <f>-R7/(C7*N7)</f>
        <v>56.30911831383883</v>
      </c>
      <c r="T7" s="329">
        <f t="shared" si="4"/>
        <v>5.2311170913556273</v>
      </c>
    </row>
    <row r="8" spans="1:20" ht="15.75" thickBot="1" x14ac:dyDescent="0.3">
      <c r="A8" s="105" t="s">
        <v>218</v>
      </c>
      <c r="B8" s="110">
        <v>100</v>
      </c>
      <c r="C8" s="106">
        <f t="shared" si="0"/>
        <v>5.2740000000000009E-2</v>
      </c>
      <c r="D8" s="82" t="s">
        <v>795</v>
      </c>
      <c r="E8" s="363">
        <f>VLOOKUP(D8,STREAMDATA,2, FALSE)</f>
        <v>28.200080000000014</v>
      </c>
      <c r="F8" s="82" t="s">
        <v>796</v>
      </c>
      <c r="G8" s="363">
        <f>VLOOKUP(F8,STREAMDATA,2, FALSE)</f>
        <v>37.021132399999999</v>
      </c>
      <c r="H8" s="82" t="s">
        <v>191</v>
      </c>
      <c r="I8" s="363">
        <f>VLOOKUP(H8, STREAMDATA, 2, FALSE)</f>
        <v>117.98975300000001</v>
      </c>
      <c r="J8" s="82" t="s">
        <v>192</v>
      </c>
      <c r="K8" s="363">
        <f>VLOOKUP(J8, STREAMDATA, 2, FALSE)</f>
        <v>80</v>
      </c>
      <c r="L8" s="364">
        <f t="shared" si="1"/>
        <v>-51.799919999999986</v>
      </c>
      <c r="M8" s="364">
        <f t="shared" si="2"/>
        <v>-80.968620600000008</v>
      </c>
      <c r="N8" s="364">
        <f t="shared" si="3"/>
        <v>-65.302124190633194</v>
      </c>
      <c r="O8" s="82" t="s">
        <v>183</v>
      </c>
      <c r="P8" s="83"/>
      <c r="Q8" s="323">
        <f>VLOOKUP(O8, STREAMDATA, 2, FALSE)</f>
        <v>2.4624180400000002</v>
      </c>
      <c r="R8" s="319">
        <f>Q8*1163</f>
        <v>2863.7921805200003</v>
      </c>
      <c r="S8" s="333">
        <f>-R8/(C8*N8)</f>
        <v>831.52261439027291</v>
      </c>
      <c r="T8" s="330">
        <f t="shared" ref="T8" si="5">S8*0.0929</f>
        <v>77.248450876856353</v>
      </c>
    </row>
    <row r="9" spans="1:20" ht="15.75" thickBot="1" x14ac:dyDescent="0.3"/>
    <row r="10" spans="1:20" ht="19.5" thickBot="1" x14ac:dyDescent="0.35">
      <c r="A10" s="595" t="s">
        <v>229</v>
      </c>
      <c r="B10" s="596"/>
      <c r="C10" s="596"/>
      <c r="D10" s="596"/>
      <c r="E10" s="596"/>
      <c r="F10" s="596"/>
      <c r="G10" s="596"/>
      <c r="H10" s="596"/>
      <c r="I10" s="596"/>
      <c r="J10" s="597"/>
    </row>
    <row r="11" spans="1:20" ht="18" thickBot="1" x14ac:dyDescent="0.3">
      <c r="A11" s="107" t="s">
        <v>198</v>
      </c>
      <c r="B11" s="94" t="s">
        <v>209</v>
      </c>
      <c r="C11" s="95" t="s">
        <v>220</v>
      </c>
      <c r="D11" s="94" t="s">
        <v>269</v>
      </c>
      <c r="E11" s="98" t="s">
        <v>523</v>
      </c>
      <c r="F11" s="95" t="s">
        <v>524</v>
      </c>
      <c r="G11" s="94" t="s">
        <v>223</v>
      </c>
      <c r="H11" s="95" t="s">
        <v>601</v>
      </c>
      <c r="I11" s="94" t="s">
        <v>224</v>
      </c>
      <c r="J11" s="95" t="s">
        <v>602</v>
      </c>
    </row>
    <row r="12" spans="1:20" ht="15.75" thickBot="1" x14ac:dyDescent="0.3">
      <c r="A12" s="105" t="s">
        <v>225</v>
      </c>
      <c r="B12" s="82" t="s">
        <v>177</v>
      </c>
      <c r="C12" s="319">
        <f>VLOOKUP(B12, STREAMDATA, 2, FALSE)</f>
        <v>75428.201799999995</v>
      </c>
      <c r="D12" s="82" t="s">
        <v>599</v>
      </c>
      <c r="E12" s="320">
        <f>VLOOKUP(D12, STREAMDATA, 2, FALSE)</f>
        <v>0.35592288999999999</v>
      </c>
      <c r="F12" s="6">
        <f>E12*1000</f>
        <v>355.92289</v>
      </c>
      <c r="G12" s="327">
        <v>30</v>
      </c>
      <c r="H12" s="349">
        <f>8/12</f>
        <v>0.66666666666666663</v>
      </c>
      <c r="I12" s="328">
        <f>4*(C12/F12)*(G12/60)/(PI()*0.092903*H12^2)</f>
        <v>3267.463447660778</v>
      </c>
      <c r="J12" s="326">
        <f>I12*0.3048</f>
        <v>995.92285884700516</v>
      </c>
    </row>
  </sheetData>
  <mergeCells count="17">
    <mergeCell ref="A1:T1"/>
    <mergeCell ref="L2:L4"/>
    <mergeCell ref="M2:M4"/>
    <mergeCell ref="N2:N4"/>
    <mergeCell ref="S2:S4"/>
    <mergeCell ref="D3:E3"/>
    <mergeCell ref="F3:G3"/>
    <mergeCell ref="H3:I3"/>
    <mergeCell ref="J3:K3"/>
    <mergeCell ref="A2:A4"/>
    <mergeCell ref="B2:B4"/>
    <mergeCell ref="C2:C4"/>
    <mergeCell ref="D2:G2"/>
    <mergeCell ref="A10:J10"/>
    <mergeCell ref="H2:K2"/>
    <mergeCell ref="T2:T4"/>
    <mergeCell ref="O2:R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5">
    <tabColor theme="9" tint="0.59999389629810485"/>
  </sheetPr>
  <dimension ref="A1:Y42"/>
  <sheetViews>
    <sheetView workbookViewId="0">
      <selection sqref="A1:C1"/>
    </sheetView>
  </sheetViews>
  <sheetFormatPr defaultRowHeight="15" x14ac:dyDescent="0.25"/>
  <cols>
    <col min="1" max="1" width="24.7109375" bestFit="1" customWidth="1"/>
    <col min="3" max="3" width="9.85546875" bestFit="1" customWidth="1"/>
    <col min="7" max="7" width="16.7109375" bestFit="1" customWidth="1"/>
    <col min="15" max="15" width="13.85546875" bestFit="1" customWidth="1"/>
    <col min="18" max="18" width="48.28515625" bestFit="1" customWidth="1"/>
    <col min="19" max="19" width="89.42578125" bestFit="1" customWidth="1"/>
  </cols>
  <sheetData>
    <row r="1" spans="1:25" ht="15.75" thickBot="1" x14ac:dyDescent="0.3">
      <c r="A1" s="618" t="s">
        <v>230</v>
      </c>
      <c r="B1" s="619"/>
      <c r="C1" s="620"/>
      <c r="E1" s="618" t="s">
        <v>239</v>
      </c>
      <c r="F1" s="619"/>
      <c r="G1" s="620"/>
      <c r="I1" s="618" t="s">
        <v>242</v>
      </c>
      <c r="J1" s="619"/>
      <c r="K1" s="620"/>
      <c r="M1" s="618" t="s">
        <v>244</v>
      </c>
      <c r="N1" s="619"/>
      <c r="O1" s="620"/>
      <c r="R1" s="618" t="s">
        <v>246</v>
      </c>
      <c r="S1" s="620"/>
    </row>
    <row r="2" spans="1:25" ht="15.75" thickBot="1" x14ac:dyDescent="0.3">
      <c r="A2" s="77" t="s">
        <v>231</v>
      </c>
      <c r="B2" s="78" t="s">
        <v>64</v>
      </c>
      <c r="C2" s="7" t="s">
        <v>241</v>
      </c>
      <c r="E2" s="77" t="s">
        <v>231</v>
      </c>
      <c r="F2" s="78" t="s">
        <v>64</v>
      </c>
      <c r="G2" s="7" t="s">
        <v>240</v>
      </c>
      <c r="I2" s="77" t="s">
        <v>231</v>
      </c>
      <c r="J2" s="78" t="s">
        <v>64</v>
      </c>
      <c r="K2" s="7" t="s">
        <v>243</v>
      </c>
      <c r="M2" s="77" t="s">
        <v>231</v>
      </c>
      <c r="N2" s="78" t="s">
        <v>64</v>
      </c>
      <c r="O2" s="7" t="s">
        <v>639</v>
      </c>
      <c r="R2" s="616" t="s">
        <v>665</v>
      </c>
      <c r="S2" s="617"/>
      <c r="T2" s="403"/>
      <c r="U2" s="403"/>
      <c r="V2" s="403"/>
      <c r="W2" s="403"/>
    </row>
    <row r="3" spans="1:25" x14ac:dyDescent="0.25">
      <c r="A3" s="419" t="s">
        <v>232</v>
      </c>
      <c r="B3" s="80">
        <v>1990</v>
      </c>
      <c r="C3" s="420">
        <v>357.6</v>
      </c>
      <c r="E3" s="426" t="s">
        <v>672</v>
      </c>
      <c r="F3" s="414">
        <v>1980</v>
      </c>
      <c r="G3" s="415">
        <v>77.575000000000003</v>
      </c>
      <c r="I3" s="419" t="s">
        <v>673</v>
      </c>
      <c r="J3" s="80">
        <v>1990</v>
      </c>
      <c r="K3" s="410">
        <v>12.85</v>
      </c>
      <c r="M3" s="427" t="s">
        <v>674</v>
      </c>
      <c r="N3" s="405">
        <v>2014</v>
      </c>
      <c r="O3" s="406">
        <v>5.2317905930562354</v>
      </c>
      <c r="R3" s="81" t="s">
        <v>247</v>
      </c>
      <c r="S3" s="8"/>
    </row>
    <row r="4" spans="1:25" x14ac:dyDescent="0.25">
      <c r="A4" s="418" t="s">
        <v>232</v>
      </c>
      <c r="B4" s="3">
        <v>1991</v>
      </c>
      <c r="C4" s="315">
        <v>361.3</v>
      </c>
      <c r="E4" s="404" t="s">
        <v>672</v>
      </c>
      <c r="F4" s="405">
        <v>1981</v>
      </c>
      <c r="G4" s="416">
        <v>93.141666666666666</v>
      </c>
      <c r="I4" s="81" t="s">
        <v>673</v>
      </c>
      <c r="J4" s="3">
        <v>1991</v>
      </c>
      <c r="K4" s="411">
        <v>13.3</v>
      </c>
      <c r="M4" s="404" t="s">
        <v>674</v>
      </c>
      <c r="N4" s="405">
        <v>2015</v>
      </c>
      <c r="O4" s="406">
        <v>3.5069352876106255</v>
      </c>
      <c r="R4" s="81" t="s">
        <v>248</v>
      </c>
      <c r="S4" s="8"/>
    </row>
    <row r="5" spans="1:25" x14ac:dyDescent="0.25">
      <c r="A5" s="418" t="s">
        <v>232</v>
      </c>
      <c r="B5" s="3">
        <v>1992</v>
      </c>
      <c r="C5" s="315">
        <v>358.2</v>
      </c>
      <c r="E5" s="404" t="s">
        <v>672</v>
      </c>
      <c r="F5" s="405">
        <v>1982</v>
      </c>
      <c r="G5" s="416">
        <v>100.00833333333334</v>
      </c>
      <c r="I5" s="81" t="s">
        <v>673</v>
      </c>
      <c r="J5" s="3">
        <v>1992</v>
      </c>
      <c r="K5" s="411">
        <v>13.7</v>
      </c>
      <c r="M5" s="404" t="s">
        <v>674</v>
      </c>
      <c r="N5" s="405">
        <v>2016</v>
      </c>
      <c r="O5" s="406">
        <v>3.0307129050596915</v>
      </c>
      <c r="R5" s="81" t="s">
        <v>249</v>
      </c>
      <c r="S5" s="8"/>
    </row>
    <row r="6" spans="1:25" x14ac:dyDescent="0.25">
      <c r="A6" s="418" t="s">
        <v>232</v>
      </c>
      <c r="B6" s="3">
        <v>1993</v>
      </c>
      <c r="C6" s="315">
        <v>359.2</v>
      </c>
      <c r="E6" s="404" t="s">
        <v>672</v>
      </c>
      <c r="F6" s="405">
        <v>1983</v>
      </c>
      <c r="G6" s="416">
        <v>95.1</v>
      </c>
      <c r="I6" s="81" t="s">
        <v>673</v>
      </c>
      <c r="J6" s="3">
        <v>1993</v>
      </c>
      <c r="K6" s="411">
        <v>13.97</v>
      </c>
      <c r="M6" s="404" t="s">
        <v>674</v>
      </c>
      <c r="N6" s="405">
        <v>2017</v>
      </c>
      <c r="O6" s="406">
        <v>3.46331726384365</v>
      </c>
      <c r="R6" s="81" t="s">
        <v>250</v>
      </c>
      <c r="S6" s="8"/>
    </row>
    <row r="7" spans="1:25" x14ac:dyDescent="0.25">
      <c r="A7" s="418" t="s">
        <v>232</v>
      </c>
      <c r="B7" s="3">
        <v>1994</v>
      </c>
      <c r="C7" s="315">
        <v>368.1</v>
      </c>
      <c r="E7" s="404" t="s">
        <v>672</v>
      </c>
      <c r="F7" s="405">
        <v>1984</v>
      </c>
      <c r="G7" s="416">
        <v>94.266666666666666</v>
      </c>
      <c r="I7" s="81" t="s">
        <v>673</v>
      </c>
      <c r="J7" s="3">
        <v>1994</v>
      </c>
      <c r="K7" s="411">
        <v>14.33</v>
      </c>
      <c r="M7" s="404" t="s">
        <v>674</v>
      </c>
      <c r="N7" s="405">
        <v>2018</v>
      </c>
      <c r="O7" s="406">
        <v>4.4641839587932228</v>
      </c>
      <c r="R7" s="81" t="s">
        <v>251</v>
      </c>
      <c r="S7" s="8"/>
    </row>
    <row r="8" spans="1:25" ht="15.75" thickBot="1" x14ac:dyDescent="0.3">
      <c r="A8" s="418" t="s">
        <v>232</v>
      </c>
      <c r="B8" s="3">
        <v>1995</v>
      </c>
      <c r="C8" s="315">
        <v>381.1</v>
      </c>
      <c r="E8" s="404" t="s">
        <v>672</v>
      </c>
      <c r="F8" s="405">
        <v>1985</v>
      </c>
      <c r="G8" s="416">
        <v>96.733333333333334</v>
      </c>
      <c r="I8" s="81" t="s">
        <v>673</v>
      </c>
      <c r="J8" s="3">
        <v>1995</v>
      </c>
      <c r="K8" s="411">
        <v>14.86</v>
      </c>
      <c r="M8" s="407" t="s">
        <v>674</v>
      </c>
      <c r="N8" s="408">
        <v>2019</v>
      </c>
      <c r="O8" s="409">
        <v>3.6059123076923001</v>
      </c>
      <c r="R8" s="81" t="s">
        <v>252</v>
      </c>
      <c r="S8" s="8"/>
    </row>
    <row r="9" spans="1:25" x14ac:dyDescent="0.25">
      <c r="A9" s="418" t="s">
        <v>232</v>
      </c>
      <c r="B9" s="3">
        <v>1996</v>
      </c>
      <c r="C9" s="315">
        <v>381.7</v>
      </c>
      <c r="E9" s="404" t="s">
        <v>672</v>
      </c>
      <c r="F9" s="405">
        <v>1986</v>
      </c>
      <c r="G9" s="416">
        <v>95.24166666666666</v>
      </c>
      <c r="I9" s="81" t="s">
        <v>673</v>
      </c>
      <c r="J9" s="3">
        <v>1996</v>
      </c>
      <c r="K9" s="411">
        <v>15.37</v>
      </c>
      <c r="R9" s="81" t="s">
        <v>253</v>
      </c>
      <c r="S9" s="8"/>
    </row>
    <row r="10" spans="1:25" ht="15.75" thickBot="1" x14ac:dyDescent="0.3">
      <c r="A10" s="418" t="s">
        <v>233</v>
      </c>
      <c r="B10" s="3">
        <v>1997</v>
      </c>
      <c r="C10" s="315">
        <v>386.5</v>
      </c>
      <c r="E10" s="404" t="s">
        <v>672</v>
      </c>
      <c r="F10" s="405">
        <v>1987</v>
      </c>
      <c r="G10" s="416">
        <v>94.483333333333334</v>
      </c>
      <c r="I10" s="81" t="s">
        <v>673</v>
      </c>
      <c r="J10" s="3">
        <v>1997</v>
      </c>
      <c r="K10" s="411">
        <v>15.78</v>
      </c>
      <c r="R10" s="82" t="s">
        <v>670</v>
      </c>
      <c r="S10" s="422" t="s">
        <v>255</v>
      </c>
    </row>
    <row r="11" spans="1:25" x14ac:dyDescent="0.25">
      <c r="A11" s="418" t="s">
        <v>233</v>
      </c>
      <c r="B11" s="3">
        <v>1998</v>
      </c>
      <c r="C11" s="315">
        <v>389.5</v>
      </c>
      <c r="E11" s="404" t="s">
        <v>672</v>
      </c>
      <c r="F11" s="405">
        <v>1988</v>
      </c>
      <c r="G11" s="416">
        <v>100.85</v>
      </c>
      <c r="I11" s="81" t="s">
        <v>673</v>
      </c>
      <c r="J11" s="3">
        <v>1998</v>
      </c>
      <c r="K11" s="411">
        <v>16.23</v>
      </c>
      <c r="R11" s="616" t="s">
        <v>239</v>
      </c>
      <c r="S11" s="617"/>
    </row>
    <row r="12" spans="1:25" x14ac:dyDescent="0.25">
      <c r="A12" s="418" t="s">
        <v>234</v>
      </c>
      <c r="B12" s="3">
        <v>1999</v>
      </c>
      <c r="C12" s="315">
        <v>390.6</v>
      </c>
      <c r="E12" s="404" t="s">
        <v>672</v>
      </c>
      <c r="F12" s="405">
        <v>1989</v>
      </c>
      <c r="G12" s="416">
        <v>108.88333333333334</v>
      </c>
      <c r="I12" s="81" t="s">
        <v>673</v>
      </c>
      <c r="J12" s="3">
        <v>1999</v>
      </c>
      <c r="K12" s="411">
        <v>16.399999999999999</v>
      </c>
      <c r="R12" s="81" t="s">
        <v>663</v>
      </c>
      <c r="S12" s="8"/>
      <c r="X12" s="403"/>
    </row>
    <row r="13" spans="1:25" ht="15.75" thickBot="1" x14ac:dyDescent="0.3">
      <c r="A13" s="418" t="s">
        <v>235</v>
      </c>
      <c r="B13" s="3">
        <v>2000</v>
      </c>
      <c r="C13" s="315">
        <v>394.1</v>
      </c>
      <c r="E13" s="404" t="s">
        <v>672</v>
      </c>
      <c r="F13" s="405">
        <v>1990</v>
      </c>
      <c r="G13" s="416">
        <v>111.71666666666667</v>
      </c>
      <c r="I13" s="81" t="s">
        <v>673</v>
      </c>
      <c r="J13" s="3">
        <v>2000</v>
      </c>
      <c r="K13" s="411">
        <v>17.09</v>
      </c>
      <c r="R13" s="425" t="s">
        <v>254</v>
      </c>
      <c r="S13" s="422" t="s">
        <v>256</v>
      </c>
      <c r="T13" s="403"/>
      <c r="U13" s="403"/>
      <c r="V13" s="403"/>
      <c r="W13" s="403"/>
      <c r="Y13" s="403"/>
    </row>
    <row r="14" spans="1:25" x14ac:dyDescent="0.25">
      <c r="A14" s="418" t="s">
        <v>236</v>
      </c>
      <c r="B14" s="3">
        <v>2001</v>
      </c>
      <c r="C14" s="315">
        <v>394.3</v>
      </c>
      <c r="E14" s="404" t="s">
        <v>672</v>
      </c>
      <c r="F14" s="405">
        <v>1991</v>
      </c>
      <c r="G14" s="416">
        <v>112.47499999999999</v>
      </c>
      <c r="I14" s="81" t="s">
        <v>673</v>
      </c>
      <c r="J14" s="3">
        <v>2001</v>
      </c>
      <c r="K14" s="411">
        <v>17.57</v>
      </c>
      <c r="R14" s="616" t="s">
        <v>664</v>
      </c>
      <c r="S14" s="617"/>
    </row>
    <row r="15" spans="1:25" x14ac:dyDescent="0.25">
      <c r="A15" s="418" t="s">
        <v>236</v>
      </c>
      <c r="B15" s="3">
        <v>2002</v>
      </c>
      <c r="C15" s="315">
        <v>395.6</v>
      </c>
      <c r="E15" s="404" t="s">
        <v>672</v>
      </c>
      <c r="F15" s="405">
        <v>1992</v>
      </c>
      <c r="G15" s="416">
        <v>109.75833333333334</v>
      </c>
      <c r="I15" s="81" t="s">
        <v>673</v>
      </c>
      <c r="J15" s="3">
        <v>2002</v>
      </c>
      <c r="K15" s="411">
        <v>17.97</v>
      </c>
      <c r="R15" s="81" t="s">
        <v>666</v>
      </c>
      <c r="S15" s="8"/>
    </row>
    <row r="16" spans="1:25" x14ac:dyDescent="0.25">
      <c r="A16" s="418" t="s">
        <v>237</v>
      </c>
      <c r="B16" s="3">
        <v>2003</v>
      </c>
      <c r="C16" s="315">
        <v>402</v>
      </c>
      <c r="E16" s="404" t="s">
        <v>672</v>
      </c>
      <c r="F16" s="405">
        <v>1993</v>
      </c>
      <c r="G16" s="416">
        <v>108.84166666666667</v>
      </c>
      <c r="I16" s="81" t="s">
        <v>673</v>
      </c>
      <c r="J16" s="3">
        <v>2003</v>
      </c>
      <c r="K16" s="411">
        <v>18.5</v>
      </c>
      <c r="R16" s="424" t="s">
        <v>254</v>
      </c>
      <c r="S16" s="423" t="s">
        <v>258</v>
      </c>
    </row>
    <row r="17" spans="1:19" ht="15.75" thickBot="1" x14ac:dyDescent="0.3">
      <c r="A17" s="418" t="s">
        <v>237</v>
      </c>
      <c r="B17" s="3">
        <v>2004</v>
      </c>
      <c r="C17" s="315">
        <v>444.2</v>
      </c>
      <c r="E17" s="404" t="s">
        <v>672</v>
      </c>
      <c r="F17" s="405">
        <v>1994</v>
      </c>
      <c r="G17" s="416">
        <v>110.425</v>
      </c>
      <c r="I17" s="81" t="s">
        <v>673</v>
      </c>
      <c r="J17" s="3">
        <v>2004</v>
      </c>
      <c r="K17" s="411">
        <v>19.170000000000002</v>
      </c>
      <c r="R17" s="425" t="s">
        <v>671</v>
      </c>
      <c r="S17" s="6" t="s">
        <v>257</v>
      </c>
    </row>
    <row r="18" spans="1:19" x14ac:dyDescent="0.25">
      <c r="A18" s="418" t="s">
        <v>237</v>
      </c>
      <c r="B18" s="3">
        <v>2005</v>
      </c>
      <c r="C18" s="315">
        <v>468.2</v>
      </c>
      <c r="E18" s="404" t="s">
        <v>672</v>
      </c>
      <c r="F18" s="405">
        <v>1995</v>
      </c>
      <c r="G18" s="416">
        <v>117.18333333333334</v>
      </c>
      <c r="I18" s="81" t="s">
        <v>673</v>
      </c>
      <c r="J18" s="3">
        <v>2005</v>
      </c>
      <c r="K18" s="411">
        <v>19.670000000000002</v>
      </c>
      <c r="R18" s="616" t="s">
        <v>667</v>
      </c>
      <c r="S18" s="617"/>
    </row>
    <row r="19" spans="1:19" x14ac:dyDescent="0.25">
      <c r="A19" s="418" t="s">
        <v>238</v>
      </c>
      <c r="B19" s="3">
        <v>2006</v>
      </c>
      <c r="C19" s="315">
        <v>499.6</v>
      </c>
      <c r="E19" s="404" t="s">
        <v>672</v>
      </c>
      <c r="F19" s="405">
        <v>1996</v>
      </c>
      <c r="G19" s="416">
        <v>119.33333333333333</v>
      </c>
      <c r="I19" s="81" t="s">
        <v>673</v>
      </c>
      <c r="J19" s="3">
        <v>2006</v>
      </c>
      <c r="K19" s="411">
        <v>19.600000000000001</v>
      </c>
      <c r="R19" s="81" t="s">
        <v>668</v>
      </c>
      <c r="S19" s="8"/>
    </row>
    <row r="20" spans="1:19" ht="15.75" thickBot="1" x14ac:dyDescent="0.3">
      <c r="A20" s="418" t="s">
        <v>238</v>
      </c>
      <c r="B20" s="3">
        <v>2007</v>
      </c>
      <c r="C20" s="315">
        <v>525.4</v>
      </c>
      <c r="E20" s="404" t="s">
        <v>672</v>
      </c>
      <c r="F20" s="405">
        <v>1997</v>
      </c>
      <c r="G20" s="416">
        <v>116.825</v>
      </c>
      <c r="I20" s="81" t="s">
        <v>673</v>
      </c>
      <c r="J20" s="3">
        <v>2007</v>
      </c>
      <c r="K20" s="411">
        <v>19.55</v>
      </c>
      <c r="R20" s="425" t="s">
        <v>254</v>
      </c>
      <c r="S20" s="422" t="s">
        <v>669</v>
      </c>
    </row>
    <row r="21" spans="1:19" x14ac:dyDescent="0.25">
      <c r="A21" s="418" t="s">
        <v>238</v>
      </c>
      <c r="B21" s="3">
        <v>2008</v>
      </c>
      <c r="C21" s="315">
        <v>575.4</v>
      </c>
      <c r="E21" s="404" t="s">
        <v>672</v>
      </c>
      <c r="F21" s="405">
        <v>1998</v>
      </c>
      <c r="G21" s="416">
        <v>117.86666666666666</v>
      </c>
      <c r="I21" s="81" t="s">
        <v>673</v>
      </c>
      <c r="J21" s="3">
        <v>2008</v>
      </c>
      <c r="K21" s="411">
        <v>19.5</v>
      </c>
    </row>
    <row r="22" spans="1:19" x14ac:dyDescent="0.25">
      <c r="A22" s="418" t="s">
        <v>238</v>
      </c>
      <c r="B22" s="3">
        <v>2009</v>
      </c>
      <c r="C22" s="315">
        <v>521.9</v>
      </c>
      <c r="E22" s="404" t="s">
        <v>672</v>
      </c>
      <c r="F22" s="405">
        <v>1999</v>
      </c>
      <c r="G22" s="416">
        <v>108.91666666666667</v>
      </c>
      <c r="I22" s="81" t="s">
        <v>673</v>
      </c>
      <c r="J22" s="3">
        <v>2009</v>
      </c>
      <c r="K22" s="411">
        <v>20.3</v>
      </c>
    </row>
    <row r="23" spans="1:19" x14ac:dyDescent="0.25">
      <c r="A23" s="418" t="s">
        <v>662</v>
      </c>
      <c r="B23" s="405">
        <v>2010</v>
      </c>
      <c r="C23" s="416">
        <v>550.79999999999995</v>
      </c>
      <c r="E23" s="404" t="s">
        <v>672</v>
      </c>
      <c r="F23" s="405">
        <v>2000</v>
      </c>
      <c r="G23" s="416">
        <v>108.90833333333333</v>
      </c>
      <c r="I23" s="404" t="s">
        <v>673</v>
      </c>
      <c r="J23" s="405">
        <v>2010</v>
      </c>
      <c r="K23" s="412">
        <v>21.07</v>
      </c>
    </row>
    <row r="24" spans="1:19" x14ac:dyDescent="0.25">
      <c r="A24" s="418" t="s">
        <v>662</v>
      </c>
      <c r="B24" s="405">
        <v>2011</v>
      </c>
      <c r="C24" s="416">
        <v>585.70000000000005</v>
      </c>
      <c r="E24" s="404" t="s">
        <v>672</v>
      </c>
      <c r="F24" s="405">
        <v>2001</v>
      </c>
      <c r="G24" s="416">
        <v>118.48333333333333</v>
      </c>
      <c r="I24" s="404" t="s">
        <v>673</v>
      </c>
      <c r="J24" s="405">
        <v>2011</v>
      </c>
      <c r="K24" s="412">
        <v>21.46</v>
      </c>
    </row>
    <row r="25" spans="1:19" x14ac:dyDescent="0.25">
      <c r="A25" s="418" t="s">
        <v>662</v>
      </c>
      <c r="B25" s="405">
        <v>2012</v>
      </c>
      <c r="C25" s="416">
        <v>584.6</v>
      </c>
      <c r="E25" s="404" t="s">
        <v>672</v>
      </c>
      <c r="F25" s="405">
        <v>2002</v>
      </c>
      <c r="G25" s="416">
        <v>115.89166666666667</v>
      </c>
      <c r="I25" s="404" t="s">
        <v>673</v>
      </c>
      <c r="J25" s="405">
        <v>2012</v>
      </c>
      <c r="K25" s="412">
        <v>21.45</v>
      </c>
    </row>
    <row r="26" spans="1:19" x14ac:dyDescent="0.25">
      <c r="A26" s="418" t="s">
        <v>662</v>
      </c>
      <c r="B26" s="405">
        <v>2013</v>
      </c>
      <c r="C26" s="416">
        <v>567.29999999999995</v>
      </c>
      <c r="E26" s="404" t="s">
        <v>672</v>
      </c>
      <c r="F26" s="405">
        <v>2003</v>
      </c>
      <c r="G26" s="416">
        <v>121.14166666666667</v>
      </c>
      <c r="I26" s="404" t="s">
        <v>673</v>
      </c>
      <c r="J26" s="405">
        <v>2013</v>
      </c>
      <c r="K26" s="412">
        <v>21.4</v>
      </c>
    </row>
    <row r="27" spans="1:19" x14ac:dyDescent="0.25">
      <c r="A27" s="418" t="s">
        <v>662</v>
      </c>
      <c r="B27" s="405">
        <v>2014</v>
      </c>
      <c r="C27" s="416">
        <v>576.1</v>
      </c>
      <c r="E27" s="404" t="s">
        <v>672</v>
      </c>
      <c r="F27" s="405">
        <v>2004</v>
      </c>
      <c r="G27" s="416">
        <v>125.47499999999999</v>
      </c>
      <c r="I27" s="404" t="s">
        <v>673</v>
      </c>
      <c r="J27" s="405">
        <v>2014</v>
      </c>
      <c r="K27" s="412">
        <v>21.49</v>
      </c>
    </row>
    <row r="28" spans="1:19" x14ac:dyDescent="0.25">
      <c r="A28" s="418" t="s">
        <v>662</v>
      </c>
      <c r="B28" s="405">
        <v>2015</v>
      </c>
      <c r="C28" s="416">
        <v>556.79999999999995</v>
      </c>
      <c r="E28" s="404" t="s">
        <v>672</v>
      </c>
      <c r="F28" s="405">
        <v>2005</v>
      </c>
      <c r="G28" s="416">
        <v>141.43333333333334</v>
      </c>
      <c r="I28" s="404" t="s">
        <v>673</v>
      </c>
      <c r="J28" s="405">
        <v>2015</v>
      </c>
      <c r="K28" s="412">
        <v>21.76</v>
      </c>
    </row>
    <row r="29" spans="1:19" x14ac:dyDescent="0.25">
      <c r="A29" s="418" t="s">
        <v>662</v>
      </c>
      <c r="B29" s="405">
        <v>2016</v>
      </c>
      <c r="C29" s="416">
        <v>541.70000000000005</v>
      </c>
      <c r="E29" s="404" t="s">
        <v>672</v>
      </c>
      <c r="F29" s="405">
        <v>2006</v>
      </c>
      <c r="G29" s="416">
        <v>173.8</v>
      </c>
      <c r="I29" s="404" t="s">
        <v>673</v>
      </c>
      <c r="J29" s="405">
        <v>2016</v>
      </c>
      <c r="K29" s="412">
        <v>22.71</v>
      </c>
    </row>
    <row r="30" spans="1:19" x14ac:dyDescent="0.25">
      <c r="A30" s="418" t="s">
        <v>662</v>
      </c>
      <c r="B30" s="405">
        <v>2017</v>
      </c>
      <c r="C30" s="416">
        <v>567.5</v>
      </c>
      <c r="E30" s="404" t="s">
        <v>672</v>
      </c>
      <c r="F30" s="405">
        <v>2007</v>
      </c>
      <c r="G30" s="416">
        <v>185.99166666666667</v>
      </c>
      <c r="I30" s="404" t="s">
        <v>673</v>
      </c>
      <c r="J30" s="405">
        <v>2017</v>
      </c>
      <c r="K30" s="412">
        <v>24.28</v>
      </c>
    </row>
    <row r="31" spans="1:19" x14ac:dyDescent="0.25">
      <c r="A31" s="418" t="s">
        <v>662</v>
      </c>
      <c r="B31" s="405">
        <v>2018</v>
      </c>
      <c r="C31" s="416">
        <v>603.4</v>
      </c>
      <c r="E31" s="404" t="s">
        <v>672</v>
      </c>
      <c r="F31" s="405">
        <v>2008</v>
      </c>
      <c r="G31" s="416">
        <v>261.39166666666665</v>
      </c>
      <c r="I31" s="404" t="s">
        <v>673</v>
      </c>
      <c r="J31" s="405">
        <v>2018</v>
      </c>
      <c r="K31" s="412">
        <v>25.46</v>
      </c>
    </row>
    <row r="32" spans="1:19" ht="15.75" thickBot="1" x14ac:dyDescent="0.3">
      <c r="A32" s="421" t="s">
        <v>662</v>
      </c>
      <c r="B32" s="408">
        <v>2019</v>
      </c>
      <c r="C32" s="417">
        <v>607.5</v>
      </c>
      <c r="E32" s="404" t="s">
        <v>672</v>
      </c>
      <c r="F32" s="405">
        <v>2009</v>
      </c>
      <c r="G32" s="416">
        <v>271.85833333333335</v>
      </c>
      <c r="I32" s="407" t="s">
        <v>673</v>
      </c>
      <c r="J32" s="408">
        <v>2019</v>
      </c>
      <c r="K32" s="413">
        <v>25.46</v>
      </c>
    </row>
    <row r="33" spans="5:7" x14ac:dyDescent="0.25">
      <c r="E33" s="404" t="s">
        <v>672</v>
      </c>
      <c r="F33" s="405">
        <v>2010</v>
      </c>
      <c r="G33" s="416">
        <v>253.17500000000001</v>
      </c>
    </row>
    <row r="34" spans="5:7" x14ac:dyDescent="0.25">
      <c r="E34" s="404" t="s">
        <v>672</v>
      </c>
      <c r="F34" s="405">
        <v>2011</v>
      </c>
      <c r="G34" s="416">
        <v>300.90833333333336</v>
      </c>
    </row>
    <row r="35" spans="5:7" x14ac:dyDescent="0.25">
      <c r="E35" s="404" t="s">
        <v>672</v>
      </c>
      <c r="F35" s="405">
        <v>2012</v>
      </c>
      <c r="G35" s="416">
        <v>298.19166666666666</v>
      </c>
    </row>
    <row r="36" spans="5:7" x14ac:dyDescent="0.25">
      <c r="E36" s="404" t="s">
        <v>672</v>
      </c>
      <c r="F36" s="405">
        <v>2013</v>
      </c>
      <c r="G36" s="416">
        <v>281.09166666666664</v>
      </c>
    </row>
    <row r="37" spans="5:7" x14ac:dyDescent="0.25">
      <c r="E37" s="404" t="s">
        <v>672</v>
      </c>
      <c r="F37" s="405">
        <v>2014</v>
      </c>
      <c r="G37" s="416">
        <v>270.30833333333334</v>
      </c>
    </row>
    <row r="38" spans="5:7" x14ac:dyDescent="0.25">
      <c r="E38" s="404" t="s">
        <v>672</v>
      </c>
      <c r="F38" s="405">
        <v>2015</v>
      </c>
      <c r="G38" s="416">
        <v>270.00833333333333</v>
      </c>
    </row>
    <row r="39" spans="5:7" x14ac:dyDescent="0.25">
      <c r="E39" s="404" t="s">
        <v>672</v>
      </c>
      <c r="F39" s="405">
        <v>2016</v>
      </c>
      <c r="G39" s="416">
        <v>252.125</v>
      </c>
    </row>
    <row r="40" spans="5:7" x14ac:dyDescent="0.25">
      <c r="E40" s="404" t="s">
        <v>672</v>
      </c>
      <c r="F40" s="405">
        <v>2017</v>
      </c>
      <c r="G40" s="416">
        <v>256.79166666666669</v>
      </c>
    </row>
    <row r="41" spans="5:7" x14ac:dyDescent="0.25">
      <c r="E41" s="404" t="s">
        <v>672</v>
      </c>
      <c r="F41" s="405">
        <v>2018</v>
      </c>
      <c r="G41" s="416">
        <v>276.89999999999998</v>
      </c>
    </row>
    <row r="42" spans="5:7" ht="15.75" thickBot="1" x14ac:dyDescent="0.3">
      <c r="E42" s="407" t="s">
        <v>672</v>
      </c>
      <c r="F42" s="408">
        <v>2019</v>
      </c>
      <c r="G42" s="417">
        <v>279.59166666666664</v>
      </c>
    </row>
  </sheetData>
  <mergeCells count="9">
    <mergeCell ref="R2:S2"/>
    <mergeCell ref="R11:S11"/>
    <mergeCell ref="R14:S14"/>
    <mergeCell ref="R18:S18"/>
    <mergeCell ref="A1:C1"/>
    <mergeCell ref="E1:G1"/>
    <mergeCell ref="I1:K1"/>
    <mergeCell ref="M1:O1"/>
    <mergeCell ref="R1:S1"/>
  </mergeCells>
  <hyperlinks>
    <hyperlink ref="S13" r:id="rId1" xr:uid="{00000000-0004-0000-0300-000000000000}"/>
    <hyperlink ref="S16" r:id="rId2" xr:uid="{00000000-0004-0000-0300-000001000000}"/>
    <hyperlink ref="S20" r:id="rId3" xr:uid="{00000000-0004-0000-0300-000002000000}"/>
    <hyperlink ref="S10" r:id="rId4" xr:uid="{00000000-0004-0000-0300-000003000000}"/>
  </hyperlinks>
  <pageMargins left="0.7" right="0.7" top="0.75" bottom="0.75" header="0.3" footer="0.3"/>
  <pageSetup orientation="portrait" horizontalDpi="300" verticalDpi="300" r:id="rId5"/>
  <ignoredErrors>
    <ignoredError sqref="A3:A32 E3:E42 I3:I32 M3:M8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6">
    <tabColor theme="9" tint="0.59999389629810485"/>
  </sheetPr>
  <dimension ref="A1:U66"/>
  <sheetViews>
    <sheetView workbookViewId="0">
      <pane xSplit="2" topLeftCell="C1" activePane="topRight" state="frozen"/>
      <selection pane="topRight" activeCell="B35" sqref="B35"/>
    </sheetView>
  </sheetViews>
  <sheetFormatPr defaultRowHeight="15" x14ac:dyDescent="0.25"/>
  <cols>
    <col min="1" max="1" width="14.28515625" style="3" bestFit="1" customWidth="1"/>
    <col min="2" max="2" width="41.28515625" style="3" bestFit="1" customWidth="1"/>
    <col min="3" max="3" width="16.7109375" style="3" bestFit="1" customWidth="1"/>
    <col min="4" max="4" width="12.5703125" style="3" bestFit="1" customWidth="1"/>
    <col min="5" max="5" width="5" style="3" bestFit="1" customWidth="1"/>
    <col min="6" max="6" width="24.85546875" style="3" bestFit="1" customWidth="1"/>
    <col min="7" max="7" width="12.42578125" style="3" bestFit="1" customWidth="1"/>
    <col min="8" max="8" width="11.85546875" style="3" bestFit="1" customWidth="1"/>
    <col min="9" max="9" width="16.28515625" style="3" bestFit="1" customWidth="1"/>
    <col min="10" max="10" width="16.7109375" style="3" bestFit="1" customWidth="1"/>
    <col min="11" max="11" width="10.5703125" style="3" bestFit="1" customWidth="1"/>
    <col min="12" max="12" width="11" style="3" bestFit="1" customWidth="1"/>
    <col min="13" max="13" width="9.140625" style="3"/>
    <col min="14" max="14" width="19.42578125" style="3" bestFit="1" customWidth="1"/>
    <col min="15" max="15" width="25" style="3" bestFit="1" customWidth="1"/>
    <col min="16" max="16" width="27.140625" style="3" bestFit="1" customWidth="1"/>
    <col min="17" max="17" width="24.28515625" style="3" bestFit="1" customWidth="1"/>
    <col min="18" max="18" width="11" style="3" bestFit="1" customWidth="1"/>
    <col min="19" max="19" width="15.5703125" style="3" bestFit="1" customWidth="1"/>
    <col min="20" max="20" width="25" style="3" bestFit="1" customWidth="1"/>
    <col min="21" max="21" width="27.140625" style="3" bestFit="1" customWidth="1"/>
    <col min="22" max="16384" width="9.140625" style="3"/>
  </cols>
  <sheetData>
    <row r="1" spans="1:21" ht="15.75" customHeight="1" thickBot="1" x14ac:dyDescent="0.3"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O1" s="623" t="s">
        <v>361</v>
      </c>
      <c r="P1" s="623"/>
      <c r="Q1" s="153"/>
      <c r="T1" s="623" t="s">
        <v>362</v>
      </c>
      <c r="U1" s="623"/>
    </row>
    <row r="2" spans="1:21" ht="15.75" thickBot="1" x14ac:dyDescent="0.3">
      <c r="A2" s="194" t="s">
        <v>294</v>
      </c>
      <c r="B2" s="195" t="s">
        <v>363</v>
      </c>
      <c r="C2" s="195" t="s">
        <v>231</v>
      </c>
      <c r="D2" s="195" t="s">
        <v>245</v>
      </c>
      <c r="E2" s="195" t="s">
        <v>64</v>
      </c>
      <c r="F2" s="195" t="s">
        <v>364</v>
      </c>
      <c r="G2" s="195" t="s">
        <v>365</v>
      </c>
      <c r="H2" s="195" t="s">
        <v>9</v>
      </c>
      <c r="I2" s="195" t="s">
        <v>366</v>
      </c>
      <c r="J2" s="195" t="s">
        <v>367</v>
      </c>
      <c r="K2" s="195" t="s">
        <v>368</v>
      </c>
      <c r="L2" s="195" t="s">
        <v>9</v>
      </c>
      <c r="M2" s="195" t="s">
        <v>369</v>
      </c>
      <c r="N2" s="195" t="s">
        <v>370</v>
      </c>
      <c r="O2" s="195" t="s">
        <v>371</v>
      </c>
      <c r="P2" s="195" t="s">
        <v>372</v>
      </c>
      <c r="Q2" s="195" t="s">
        <v>373</v>
      </c>
      <c r="R2" s="195" t="s">
        <v>9</v>
      </c>
      <c r="S2" s="195" t="s">
        <v>374</v>
      </c>
      <c r="T2" s="195" t="s">
        <v>371</v>
      </c>
      <c r="U2" s="196" t="s">
        <v>372</v>
      </c>
    </row>
    <row r="3" spans="1:21" s="162" customFormat="1" ht="15.75" x14ac:dyDescent="0.25">
      <c r="A3" s="191"/>
      <c r="B3" s="192" t="s">
        <v>86</v>
      </c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3"/>
    </row>
    <row r="4" spans="1:21" ht="17.25" x14ac:dyDescent="0.25">
      <c r="A4" s="85">
        <v>1</v>
      </c>
      <c r="B4" s="84" t="s">
        <v>389</v>
      </c>
      <c r="C4" s="84" t="s">
        <v>3</v>
      </c>
      <c r="D4" s="163">
        <v>44604000</v>
      </c>
      <c r="E4" s="84">
        <v>2012</v>
      </c>
      <c r="F4" s="84" t="s">
        <v>508</v>
      </c>
      <c r="G4" s="166">
        <v>49756</v>
      </c>
      <c r="H4" s="84" t="s">
        <v>516</v>
      </c>
      <c r="I4" s="169">
        <v>0.7</v>
      </c>
      <c r="J4" s="169">
        <v>2.2000000000000002</v>
      </c>
      <c r="K4" s="166">
        <f>HTLEquipSize!S5</f>
        <v>4832.5428523389801</v>
      </c>
      <c r="L4" s="84" t="s">
        <v>516</v>
      </c>
      <c r="M4" s="167">
        <f>K4/G4</f>
        <v>9.7124826198628916E-2</v>
      </c>
      <c r="N4" s="163">
        <f>D4*M4^I4</f>
        <v>8719769.1092513856</v>
      </c>
      <c r="O4" s="163">
        <f ca="1">N4*VLOOKUP(COSTYEAR,INDIRECT(INDEX_CAP),2,FALSE)/VLOOKUP(E4,INDIRECT(INDEX_CAP),2,FALSE)</f>
        <v>9061340.6326893885</v>
      </c>
      <c r="P4" s="168">
        <f ca="1">O4*J4</f>
        <v>19934949.391916655</v>
      </c>
      <c r="Q4" s="166"/>
      <c r="R4" s="169"/>
      <c r="S4" s="170">
        <v>1</v>
      </c>
      <c r="T4" s="163">
        <f ca="1">O4*S4</f>
        <v>9061340.6326893885</v>
      </c>
      <c r="U4" s="339">
        <f ca="1">P4*S4</f>
        <v>19934949.391916655</v>
      </c>
    </row>
    <row r="5" spans="1:21" x14ac:dyDescent="0.25">
      <c r="A5" s="85">
        <v>1</v>
      </c>
      <c r="B5" s="84" t="s">
        <v>391</v>
      </c>
      <c r="C5" s="84" t="s">
        <v>3</v>
      </c>
      <c r="D5" s="163">
        <v>272788</v>
      </c>
      <c r="E5" s="84">
        <v>2013</v>
      </c>
      <c r="F5" s="84" t="s">
        <v>508</v>
      </c>
      <c r="G5" s="166">
        <v>480</v>
      </c>
      <c r="H5" s="84" t="s">
        <v>517</v>
      </c>
      <c r="I5" s="169">
        <v>1</v>
      </c>
      <c r="J5" s="169">
        <v>2</v>
      </c>
      <c r="K5" s="335">
        <f>HTLEquipSize!I12</f>
        <v>3267.463447660778</v>
      </c>
      <c r="L5" s="84" t="s">
        <v>517</v>
      </c>
      <c r="M5" s="167">
        <f t="shared" ref="M5:M9" si="0">K5/G5</f>
        <v>6.8072155159599541</v>
      </c>
      <c r="N5" s="163">
        <f t="shared" ref="N5:N9" si="1">D5*M5^I5</f>
        <v>1856926.7061676839</v>
      </c>
      <c r="O5" s="163">
        <f ca="1">N5*VLOOKUP(COSTYEAR,INDIRECT(INDEX_CAP),2,FALSE)/VLOOKUP(E5,INDIRECT(INDEX_CAP),2,FALSE)</f>
        <v>1988512.2051769223</v>
      </c>
      <c r="P5" s="168">
        <f t="shared" ref="P5:P9" ca="1" si="2">O5*J5</f>
        <v>3977024.4103538445</v>
      </c>
      <c r="Q5" s="166"/>
      <c r="R5" s="170"/>
      <c r="S5" s="170">
        <v>1</v>
      </c>
      <c r="T5" s="163">
        <f t="shared" ref="T5:T9" ca="1" si="3">O5*S5</f>
        <v>1988512.2051769223</v>
      </c>
      <c r="U5" s="339">
        <f t="shared" ref="U5:U9" ca="1" si="4">P5*S5</f>
        <v>3977024.4103538445</v>
      </c>
    </row>
    <row r="6" spans="1:21" ht="17.25" x14ac:dyDescent="0.25">
      <c r="A6" s="180">
        <v>1</v>
      </c>
      <c r="B6" s="84" t="s">
        <v>392</v>
      </c>
      <c r="C6" s="84" t="s">
        <v>3</v>
      </c>
      <c r="D6" s="163">
        <v>5600000</v>
      </c>
      <c r="E6" s="84">
        <v>2012</v>
      </c>
      <c r="F6" s="84" t="s">
        <v>605</v>
      </c>
      <c r="G6" s="166">
        <v>1</v>
      </c>
      <c r="H6" s="84" t="s">
        <v>518</v>
      </c>
      <c r="I6" s="169">
        <v>0.7</v>
      </c>
      <c r="J6" s="169">
        <v>2</v>
      </c>
      <c r="K6" s="166">
        <v>1</v>
      </c>
      <c r="L6" s="84" t="s">
        <v>518</v>
      </c>
      <c r="M6" s="167">
        <f t="shared" si="0"/>
        <v>1</v>
      </c>
      <c r="N6" s="163">
        <f t="shared" si="1"/>
        <v>5600000</v>
      </c>
      <c r="O6" s="163">
        <f ca="1">N6*VLOOKUP(COSTYEAR,INDIRECT(INDEX_CAP),2,FALSE)/VLOOKUP(E6,INDIRECT(INDEX_CAP),2,FALSE)</f>
        <v>5819363.6674649334</v>
      </c>
      <c r="P6" s="168">
        <f t="shared" ca="1" si="2"/>
        <v>11638727.334929867</v>
      </c>
      <c r="Q6" s="166"/>
      <c r="R6" s="169"/>
      <c r="S6" s="170">
        <v>1</v>
      </c>
      <c r="T6" s="163">
        <f t="shared" ca="1" si="3"/>
        <v>5819363.6674649334</v>
      </c>
      <c r="U6" s="339">
        <f t="shared" ca="1" si="4"/>
        <v>11638727.334929867</v>
      </c>
    </row>
    <row r="7" spans="1:21" x14ac:dyDescent="0.25">
      <c r="A7" s="180">
        <v>1</v>
      </c>
      <c r="B7" s="171" t="s">
        <v>393</v>
      </c>
      <c r="C7" s="84" t="s">
        <v>3</v>
      </c>
      <c r="D7" s="163">
        <v>1311000</v>
      </c>
      <c r="E7" s="84">
        <v>2011</v>
      </c>
      <c r="F7" s="84" t="s">
        <v>179</v>
      </c>
      <c r="G7" s="166">
        <v>3689</v>
      </c>
      <c r="H7" s="84" t="s">
        <v>519</v>
      </c>
      <c r="I7" s="169">
        <v>0.6</v>
      </c>
      <c r="J7" s="169">
        <v>1.7</v>
      </c>
      <c r="K7" s="166">
        <f>(0.264/60)*IF(F7 = 0, 0, VLOOKUP(F7,STREAMDATA,2,FALSE))/K8</f>
        <v>981.27878154096391</v>
      </c>
      <c r="L7" s="84" t="s">
        <v>519</v>
      </c>
      <c r="M7" s="167">
        <f t="shared" si="0"/>
        <v>0.26600129616182266</v>
      </c>
      <c r="N7" s="163">
        <f t="shared" si="1"/>
        <v>592288.01316969679</v>
      </c>
      <c r="O7" s="163">
        <f ca="1">N7*VLOOKUP(COSTYEAR,INDIRECT(INDEX_CAP),2,FALSE)/VLOOKUP(E7,INDIRECT(INDEX_CAP),2,FALSE)</f>
        <v>614333.22178690589</v>
      </c>
      <c r="P7" s="168">
        <f t="shared" ca="1" si="2"/>
        <v>1044366.4770377399</v>
      </c>
      <c r="Q7" s="166"/>
      <c r="R7" s="169"/>
      <c r="S7" s="170">
        <v>1</v>
      </c>
      <c r="T7" s="163">
        <f t="shared" ca="1" si="3"/>
        <v>614333.22178690589</v>
      </c>
      <c r="U7" s="339">
        <f t="shared" ca="1" si="4"/>
        <v>1044366.4770377399</v>
      </c>
    </row>
    <row r="8" spans="1:21" x14ac:dyDescent="0.25">
      <c r="A8" s="180">
        <v>1</v>
      </c>
      <c r="B8" s="177" t="s">
        <v>394</v>
      </c>
      <c r="C8" s="84"/>
      <c r="E8" s="84"/>
      <c r="F8" s="84" t="s">
        <v>180</v>
      </c>
      <c r="G8" s="166"/>
      <c r="H8" s="84" t="s">
        <v>515</v>
      </c>
      <c r="I8" s="169"/>
      <c r="J8" s="169"/>
      <c r="K8" s="334">
        <f>VLOOKUP(F8, STREAMDATA, 2)</f>
        <v>0.326083609</v>
      </c>
      <c r="L8" s="84" t="s">
        <v>515</v>
      </c>
      <c r="M8" s="167"/>
      <c r="N8" s="163"/>
      <c r="O8" s="163"/>
      <c r="P8" s="168"/>
      <c r="Q8" s="166"/>
      <c r="R8" s="169"/>
      <c r="S8" s="170"/>
      <c r="T8" s="163"/>
      <c r="U8" s="339"/>
    </row>
    <row r="9" spans="1:21" x14ac:dyDescent="0.25">
      <c r="A9" s="180">
        <v>1</v>
      </c>
      <c r="B9" s="171" t="s">
        <v>395</v>
      </c>
      <c r="C9" s="84" t="s">
        <v>3</v>
      </c>
      <c r="D9" s="163">
        <v>3561000</v>
      </c>
      <c r="E9" s="84">
        <v>2011</v>
      </c>
      <c r="F9" s="84" t="s">
        <v>179</v>
      </c>
      <c r="G9" s="166">
        <v>3689</v>
      </c>
      <c r="H9" s="84" t="s">
        <v>519</v>
      </c>
      <c r="I9" s="169">
        <v>0.7</v>
      </c>
      <c r="J9" s="169">
        <v>2</v>
      </c>
      <c r="K9" s="166">
        <f>(0.264/60)*IF(F9 = 0, 0, VLOOKUP(F9,STREAMDATA,2,FALSE))/K10</f>
        <v>981.27878154096391</v>
      </c>
      <c r="L9" s="84" t="s">
        <v>519</v>
      </c>
      <c r="M9" s="167">
        <f t="shared" si="0"/>
        <v>0.26600129616182266</v>
      </c>
      <c r="N9" s="163">
        <f t="shared" si="1"/>
        <v>1409258.2978570343</v>
      </c>
      <c r="O9" s="163">
        <f ca="1">N9*VLOOKUP(COSTYEAR,INDIRECT(INDEX_CAP),2,FALSE)/VLOOKUP(E9,INDIRECT(INDEX_CAP),2,FALSE)</f>
        <v>1461711.4836061946</v>
      </c>
      <c r="P9" s="168">
        <f t="shared" ca="1" si="2"/>
        <v>2923422.9672123892</v>
      </c>
      <c r="Q9" s="166"/>
      <c r="R9" s="169"/>
      <c r="S9" s="170">
        <v>1</v>
      </c>
      <c r="T9" s="163">
        <f t="shared" ca="1" si="3"/>
        <v>1461711.4836061946</v>
      </c>
      <c r="U9" s="339">
        <f t="shared" ca="1" si="4"/>
        <v>2923422.9672123892</v>
      </c>
    </row>
    <row r="10" spans="1:21" x14ac:dyDescent="0.25">
      <c r="A10" s="180">
        <v>1</v>
      </c>
      <c r="B10" s="177" t="s">
        <v>394</v>
      </c>
      <c r="C10" s="84"/>
      <c r="D10" s="163"/>
      <c r="E10" s="84"/>
      <c r="F10" s="84" t="s">
        <v>180</v>
      </c>
      <c r="G10" s="166"/>
      <c r="H10" s="84" t="s">
        <v>515</v>
      </c>
      <c r="I10" s="169"/>
      <c r="J10" s="169"/>
      <c r="K10" s="334">
        <f>VLOOKUP(F10, STREAMDATA, 2)</f>
        <v>0.326083609</v>
      </c>
      <c r="L10" s="84" t="s">
        <v>515</v>
      </c>
      <c r="M10" s="167"/>
      <c r="N10" s="163"/>
      <c r="O10" s="163"/>
      <c r="P10" s="168"/>
      <c r="Q10" s="166"/>
      <c r="R10" s="169"/>
      <c r="S10" s="170"/>
      <c r="T10" s="163"/>
      <c r="U10" s="339"/>
    </row>
    <row r="11" spans="1:21" ht="17.25" x14ac:dyDescent="0.25">
      <c r="A11" s="180">
        <v>1</v>
      </c>
      <c r="B11" s="178" t="s">
        <v>397</v>
      </c>
      <c r="C11" s="84" t="s">
        <v>3</v>
      </c>
      <c r="D11" s="163">
        <v>255600</v>
      </c>
      <c r="E11" s="84">
        <v>2013</v>
      </c>
      <c r="F11" s="84" t="s">
        <v>508</v>
      </c>
      <c r="G11" s="120">
        <v>13020</v>
      </c>
      <c r="H11" s="84" t="s">
        <v>516</v>
      </c>
      <c r="I11" s="169">
        <v>0.8</v>
      </c>
      <c r="J11" s="169">
        <v>2.2999999999999998</v>
      </c>
      <c r="K11" s="166">
        <f>HTLEquipSize!S8</f>
        <v>831.52261439027291</v>
      </c>
      <c r="L11" s="84" t="s">
        <v>516</v>
      </c>
      <c r="M11" s="167">
        <f>K11/G11</f>
        <v>6.3865024146718352E-2</v>
      </c>
      <c r="N11" s="163">
        <f>D11*M11^I11</f>
        <v>28299.014654629205</v>
      </c>
      <c r="O11" s="163">
        <f ca="1">N11*VLOOKUP(COSTYEAR,INDIRECT(INDEX_CAP),2,FALSE)/VLOOKUP(E11,INDIRECT(INDEX_CAP),2,FALSE)</f>
        <v>30304.338802551105</v>
      </c>
      <c r="P11" s="168">
        <f ca="1">O11*J11</f>
        <v>69699.979245867537</v>
      </c>
      <c r="Q11" s="166"/>
      <c r="R11" s="169"/>
      <c r="S11" s="170">
        <v>1</v>
      </c>
      <c r="T11" s="163">
        <f ca="1">O11*S11</f>
        <v>30304.338802551105</v>
      </c>
      <c r="U11" s="339">
        <f ca="1">P11*S11</f>
        <v>69699.979245867537</v>
      </c>
    </row>
    <row r="12" spans="1:21" x14ac:dyDescent="0.25">
      <c r="A12" s="621" t="s">
        <v>388</v>
      </c>
      <c r="B12" s="622"/>
      <c r="C12" s="84" t="s">
        <v>3</v>
      </c>
      <c r="D12" s="163"/>
      <c r="E12" s="84"/>
      <c r="F12" s="84"/>
      <c r="G12" s="166"/>
      <c r="H12" s="84"/>
      <c r="I12" s="165"/>
      <c r="J12" s="169"/>
      <c r="K12" s="166"/>
      <c r="L12" s="84"/>
      <c r="M12" s="167"/>
      <c r="N12" s="163"/>
      <c r="O12" s="168"/>
      <c r="P12" s="168"/>
      <c r="Q12" s="166"/>
      <c r="R12" s="169"/>
      <c r="S12" s="170"/>
      <c r="T12" s="168"/>
      <c r="U12" s="179"/>
    </row>
    <row r="13" spans="1:21" s="4" customFormat="1" ht="15.75" thickBot="1" x14ac:dyDescent="0.3">
      <c r="A13" s="181"/>
      <c r="B13" s="182" t="s">
        <v>387</v>
      </c>
      <c r="C13" s="182"/>
      <c r="D13" s="183"/>
      <c r="E13" s="182"/>
      <c r="F13" s="182"/>
      <c r="G13" s="184"/>
      <c r="H13" s="182"/>
      <c r="I13" s="185"/>
      <c r="J13" s="185"/>
      <c r="K13" s="182"/>
      <c r="L13" s="182"/>
      <c r="M13" s="186"/>
      <c r="N13" s="183"/>
      <c r="O13" s="187"/>
      <c r="P13" s="187"/>
      <c r="Q13" s="188"/>
      <c r="R13" s="188"/>
      <c r="S13" s="189"/>
      <c r="T13" s="187">
        <f ca="1">SUM(T4:T12)</f>
        <v>18975565.549526893</v>
      </c>
      <c r="U13" s="190">
        <f ca="1">SUM(U4:U12)</f>
        <v>39588190.560696356</v>
      </c>
    </row>
    <row r="14" spans="1:21" s="162" customFormat="1" ht="15.75" x14ac:dyDescent="0.25">
      <c r="A14" s="191"/>
      <c r="B14" s="192" t="s">
        <v>87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3"/>
    </row>
    <row r="15" spans="1:21" x14ac:dyDescent="0.25">
      <c r="A15" s="85">
        <v>1</v>
      </c>
      <c r="B15" s="84" t="s">
        <v>400</v>
      </c>
      <c r="C15" s="84" t="s">
        <v>3</v>
      </c>
      <c r="D15" s="163">
        <v>27000000</v>
      </c>
      <c r="E15" s="84">
        <v>2007</v>
      </c>
      <c r="F15" s="84" t="s">
        <v>507</v>
      </c>
      <c r="G15" s="166">
        <v>6524</v>
      </c>
      <c r="H15" s="165" t="s">
        <v>513</v>
      </c>
      <c r="I15" s="169">
        <v>0.75</v>
      </c>
      <c r="J15" s="169">
        <v>1.51</v>
      </c>
      <c r="K15" s="166">
        <f>IF(K17=0,0,(0.00629*24*K16/K17))</f>
        <v>1558.3845799796645</v>
      </c>
      <c r="L15" s="165" t="s">
        <v>513</v>
      </c>
      <c r="M15" s="167">
        <f>K15/G15</f>
        <v>0.23886949417223552</v>
      </c>
      <c r="N15" s="163">
        <f>D15*M15^I15</f>
        <v>9225380.3713706844</v>
      </c>
      <c r="O15" s="163">
        <f ca="1">N15*VLOOKUP(COSTYEAR,INDIRECT(INDEX_CAP),2,FALSE)/VLOOKUP(E15,INDIRECT(INDEX_CAP),2,FALSE)</f>
        <v>10666955.796740942</v>
      </c>
      <c r="P15" s="168">
        <f ca="1">O15*J15</f>
        <v>16107103.253078822</v>
      </c>
      <c r="Q15" s="166"/>
      <c r="R15" s="165"/>
      <c r="S15" s="170">
        <v>1</v>
      </c>
      <c r="T15" s="163">
        <f ca="1">O15*S15</f>
        <v>10666955.796740942</v>
      </c>
      <c r="U15" s="339">
        <f ca="1">P15*S15</f>
        <v>16107103.253078822</v>
      </c>
    </row>
    <row r="16" spans="1:21" x14ac:dyDescent="0.25">
      <c r="A16" s="85">
        <v>1</v>
      </c>
      <c r="B16" s="177" t="s">
        <v>401</v>
      </c>
      <c r="C16" s="84"/>
      <c r="D16" s="172"/>
      <c r="E16" s="171"/>
      <c r="F16" s="171" t="s">
        <v>174</v>
      </c>
      <c r="G16" s="173"/>
      <c r="H16" s="174" t="s">
        <v>220</v>
      </c>
      <c r="I16" s="169"/>
      <c r="J16" s="169"/>
      <c r="K16" s="335">
        <f>IF(A16=1,VLOOKUP(F16,STREAMDATA,2,FALSE),0)</f>
        <v>6673.7380800000001</v>
      </c>
      <c r="L16" s="174" t="s">
        <v>220</v>
      </c>
      <c r="M16" s="167"/>
      <c r="N16" s="163"/>
      <c r="O16" s="163"/>
      <c r="P16" s="168"/>
      <c r="Q16" s="173"/>
      <c r="R16" s="174"/>
      <c r="S16" s="176"/>
      <c r="T16" s="163"/>
      <c r="U16" s="339"/>
    </row>
    <row r="17" spans="1:21" x14ac:dyDescent="0.25">
      <c r="A17" s="85">
        <v>1</v>
      </c>
      <c r="B17" s="197" t="s">
        <v>394</v>
      </c>
      <c r="C17" s="84"/>
      <c r="D17" s="163"/>
      <c r="E17" s="84"/>
      <c r="F17" s="84" t="s">
        <v>509</v>
      </c>
      <c r="G17" s="164"/>
      <c r="H17" s="165" t="s">
        <v>515</v>
      </c>
      <c r="I17" s="169"/>
      <c r="J17" s="169"/>
      <c r="K17" s="334">
        <f>IF(A17=1,VLOOKUP(F17,STREAMDATA,2,FALSE),0)</f>
        <v>0.646481949</v>
      </c>
      <c r="L17" s="165" t="s">
        <v>515</v>
      </c>
      <c r="M17" s="167"/>
      <c r="N17" s="163"/>
      <c r="O17" s="163"/>
      <c r="P17" s="168"/>
      <c r="Q17" s="166"/>
      <c r="R17" s="165"/>
      <c r="S17" s="170"/>
      <c r="T17" s="163"/>
      <c r="U17" s="339"/>
    </row>
    <row r="18" spans="1:21" x14ac:dyDescent="0.25">
      <c r="A18" s="180">
        <v>1</v>
      </c>
      <c r="B18" s="84" t="s">
        <v>403</v>
      </c>
      <c r="C18" s="84" t="s">
        <v>3</v>
      </c>
      <c r="D18" s="163">
        <v>1385600</v>
      </c>
      <c r="E18" s="84">
        <v>2011</v>
      </c>
      <c r="F18" s="84" t="s">
        <v>507</v>
      </c>
      <c r="G18" s="164">
        <v>17.100000000000001</v>
      </c>
      <c r="H18" s="165" t="s">
        <v>514</v>
      </c>
      <c r="I18" s="169">
        <v>0.8</v>
      </c>
      <c r="J18" s="169">
        <v>1.1000000000000001</v>
      </c>
      <c r="K18" s="164">
        <f>IF(K20=0,0,(0.0000000353*24*K19/K20))</f>
        <v>2.7013512042933328</v>
      </c>
      <c r="L18" s="165" t="s">
        <v>514</v>
      </c>
      <c r="M18" s="167">
        <f t="shared" ref="M18:M24" si="5">K18/G18</f>
        <v>0.157973754637037</v>
      </c>
      <c r="N18" s="163">
        <f t="shared" ref="N18:N24" si="6">D18*M18^I18</f>
        <v>316596.29410634871</v>
      </c>
      <c r="O18" s="163">
        <f ca="1">N18*VLOOKUP(COSTYEAR,INDIRECT(INDEX_CAP),2,FALSE)/VLOOKUP(E18,INDIRECT(INDEX_CAP),2,FALSE)</f>
        <v>328380.14114667376</v>
      </c>
      <c r="P18" s="168">
        <f t="shared" ref="P18:P24" ca="1" si="7">O18*J18</f>
        <v>361218.15526134119</v>
      </c>
      <c r="Q18" s="166"/>
      <c r="R18" s="165"/>
      <c r="S18" s="170">
        <v>1</v>
      </c>
      <c r="T18" s="163">
        <f t="shared" ref="T18" ca="1" si="8">O18*S18</f>
        <v>328380.14114667376</v>
      </c>
      <c r="U18" s="339">
        <f t="shared" ref="U18" ca="1" si="9">P18*S18</f>
        <v>361218.15526134119</v>
      </c>
    </row>
    <row r="19" spans="1:21" x14ac:dyDescent="0.25">
      <c r="A19" s="180">
        <v>1</v>
      </c>
      <c r="B19" s="177" t="s">
        <v>401</v>
      </c>
      <c r="C19" s="84"/>
      <c r="D19" s="163"/>
      <c r="E19" s="84"/>
      <c r="F19" s="84" t="s">
        <v>193</v>
      </c>
      <c r="G19" s="164"/>
      <c r="H19" s="165" t="s">
        <v>220</v>
      </c>
      <c r="I19" s="169"/>
      <c r="J19" s="169"/>
      <c r="K19" s="335">
        <f>IF(A19=1,VLOOKUP(F19,STREAMDATA,2,FALSE),0)</f>
        <v>286.97073699999999</v>
      </c>
      <c r="L19" s="165" t="s">
        <v>220</v>
      </c>
      <c r="M19" s="167"/>
      <c r="N19" s="163"/>
      <c r="O19" s="163"/>
      <c r="P19" s="168"/>
      <c r="Q19" s="166"/>
      <c r="R19" s="165"/>
      <c r="S19" s="170"/>
      <c r="T19" s="163"/>
      <c r="U19" s="339"/>
    </row>
    <row r="20" spans="1:21" ht="18" x14ac:dyDescent="0.35">
      <c r="A20" s="180">
        <v>1</v>
      </c>
      <c r="B20" s="197" t="s">
        <v>394</v>
      </c>
      <c r="C20" s="84"/>
      <c r="D20" s="163"/>
      <c r="E20" s="84"/>
      <c r="F20" s="84" t="s">
        <v>512</v>
      </c>
      <c r="G20" s="164"/>
      <c r="H20" s="165" t="s">
        <v>515</v>
      </c>
      <c r="I20" s="169"/>
      <c r="J20" s="169"/>
      <c r="K20" s="336">
        <f>0.00009</f>
        <v>9.0000000000000006E-5</v>
      </c>
      <c r="L20" s="165" t="s">
        <v>515</v>
      </c>
      <c r="M20" s="167"/>
      <c r="N20" s="163"/>
      <c r="O20" s="163"/>
      <c r="P20" s="168"/>
      <c r="Q20" s="166"/>
      <c r="R20" s="165"/>
      <c r="S20" s="170"/>
      <c r="T20" s="163"/>
      <c r="U20" s="339"/>
    </row>
    <row r="21" spans="1:21" x14ac:dyDescent="0.25">
      <c r="A21" s="180">
        <v>1</v>
      </c>
      <c r="B21" s="84" t="s">
        <v>404</v>
      </c>
      <c r="C21" s="84" t="s">
        <v>3</v>
      </c>
      <c r="D21" s="163">
        <v>1750000</v>
      </c>
      <c r="E21" s="84">
        <v>2004</v>
      </c>
      <c r="F21" s="84" t="s">
        <v>507</v>
      </c>
      <c r="G21" s="164">
        <v>10</v>
      </c>
      <c r="H21" s="165" t="s">
        <v>514</v>
      </c>
      <c r="I21" s="169">
        <v>0.8</v>
      </c>
      <c r="J21" s="169">
        <v>2.4700000000000002</v>
      </c>
      <c r="K21" s="164">
        <f>IF(K23=0,0,(0.0000000353*24*K22/K23))</f>
        <v>0.10886718527199998</v>
      </c>
      <c r="L21" s="165" t="s">
        <v>514</v>
      </c>
      <c r="M21" s="167">
        <f t="shared" si="5"/>
        <v>1.0886718527199999E-2</v>
      </c>
      <c r="N21" s="163">
        <f t="shared" si="6"/>
        <v>47049.568446681646</v>
      </c>
      <c r="O21" s="163">
        <f ca="1">N21*VLOOKUP(COSTYEAR,INDIRECT(INDEX_CAP),2,FALSE)/VLOOKUP(E21,INDIRECT(INDEX_CAP),2,FALSE)</f>
        <v>64346.269318683255</v>
      </c>
      <c r="P21" s="168">
        <f t="shared" ca="1" si="7"/>
        <v>158935.28521714764</v>
      </c>
      <c r="Q21" s="166"/>
      <c r="R21" s="165"/>
      <c r="S21" s="170">
        <v>1</v>
      </c>
      <c r="T21" s="163">
        <f t="shared" ref="T21" ca="1" si="10">O21*S21</f>
        <v>64346.269318683255</v>
      </c>
      <c r="U21" s="339">
        <f t="shared" ref="U21" ca="1" si="11">P21*S21</f>
        <v>158935.28521714764</v>
      </c>
    </row>
    <row r="22" spans="1:21" x14ac:dyDescent="0.25">
      <c r="A22" s="180">
        <v>1</v>
      </c>
      <c r="B22" s="177" t="s">
        <v>401</v>
      </c>
      <c r="C22" s="84"/>
      <c r="D22" s="163"/>
      <c r="E22" s="84"/>
      <c r="F22" s="84" t="s">
        <v>194</v>
      </c>
      <c r="G22" s="164"/>
      <c r="H22" s="165" t="s">
        <v>220</v>
      </c>
      <c r="I22" s="169"/>
      <c r="J22" s="169"/>
      <c r="K22" s="335">
        <f>IF(A22=1,VLOOKUP(F22,STREAMDATA,2,FALSE),0)</f>
        <v>11.5652109</v>
      </c>
      <c r="L22" s="165" t="s">
        <v>220</v>
      </c>
      <c r="M22" s="167"/>
      <c r="N22" s="163"/>
      <c r="O22" s="163"/>
      <c r="P22" s="168"/>
      <c r="Q22" s="166"/>
      <c r="R22" s="165"/>
      <c r="S22" s="170"/>
      <c r="T22" s="163"/>
      <c r="U22" s="339"/>
    </row>
    <row r="23" spans="1:21" ht="18" x14ac:dyDescent="0.35">
      <c r="A23" s="180">
        <v>1</v>
      </c>
      <c r="B23" s="197" t="s">
        <v>394</v>
      </c>
      <c r="C23" s="84"/>
      <c r="D23" s="163"/>
      <c r="E23" s="84"/>
      <c r="F23" s="84" t="s">
        <v>512</v>
      </c>
      <c r="G23" s="164"/>
      <c r="H23" s="165" t="s">
        <v>515</v>
      </c>
      <c r="I23" s="169"/>
      <c r="J23" s="169"/>
      <c r="K23" s="336">
        <f>0.00009</f>
        <v>9.0000000000000006E-5</v>
      </c>
      <c r="L23" s="165" t="s">
        <v>515</v>
      </c>
      <c r="M23" s="167"/>
      <c r="N23" s="163"/>
      <c r="O23" s="163"/>
      <c r="P23" s="168"/>
      <c r="Q23" s="166"/>
      <c r="R23" s="165"/>
      <c r="S23" s="170"/>
      <c r="T23" s="163"/>
      <c r="U23" s="339"/>
    </row>
    <row r="24" spans="1:21" x14ac:dyDescent="0.25">
      <c r="A24" s="180">
        <v>1</v>
      </c>
      <c r="B24" s="84" t="s">
        <v>402</v>
      </c>
      <c r="C24" s="84" t="s">
        <v>3</v>
      </c>
      <c r="D24" s="163">
        <v>25000000</v>
      </c>
      <c r="E24" s="84">
        <v>2007</v>
      </c>
      <c r="F24" s="84" t="s">
        <v>507</v>
      </c>
      <c r="G24" s="166">
        <v>2200</v>
      </c>
      <c r="H24" s="165" t="s">
        <v>513</v>
      </c>
      <c r="I24" s="169">
        <v>0.75</v>
      </c>
      <c r="J24" s="169">
        <v>1.51</v>
      </c>
      <c r="K24" s="166">
        <f>IF(K26=0,0,(0.00629*24*K25/K26))</f>
        <v>153.1326885360306</v>
      </c>
      <c r="L24" s="165" t="s">
        <v>513</v>
      </c>
      <c r="M24" s="167">
        <f t="shared" si="5"/>
        <v>6.9605767516377551E-2</v>
      </c>
      <c r="N24" s="163">
        <f t="shared" si="6"/>
        <v>3387848.0913574263</v>
      </c>
      <c r="O24" s="163">
        <f ca="1">N24*VLOOKUP(COSTYEAR,INDIRECT(INDEX_CAP),2,FALSE)/VLOOKUP(E24,INDIRECT(INDEX_CAP),2,FALSE)</f>
        <v>3917239.6564515349</v>
      </c>
      <c r="P24" s="168">
        <f t="shared" ca="1" si="7"/>
        <v>5915031.881241818</v>
      </c>
      <c r="Q24" s="166"/>
      <c r="R24" s="165"/>
      <c r="S24" s="170">
        <v>1</v>
      </c>
      <c r="T24" s="163">
        <f t="shared" ref="T24" ca="1" si="12">O24*S24</f>
        <v>3917239.6564515349</v>
      </c>
      <c r="U24" s="339">
        <f t="shared" ref="U24" ca="1" si="13">P24*S24</f>
        <v>5915031.881241818</v>
      </c>
    </row>
    <row r="25" spans="1:21" x14ac:dyDescent="0.25">
      <c r="A25" s="180">
        <v>1</v>
      </c>
      <c r="B25" s="177" t="s">
        <v>401</v>
      </c>
      <c r="D25" s="163"/>
      <c r="E25" s="84"/>
      <c r="F25" s="84" t="s">
        <v>510</v>
      </c>
      <c r="G25" s="338"/>
      <c r="H25" s="165" t="s">
        <v>220</v>
      </c>
      <c r="I25" s="527"/>
      <c r="J25" s="527"/>
      <c r="K25" s="335">
        <f>IF(A25=1,VLOOKUP(F25,STREAMDATA,2,FALSE),0)</f>
        <v>578.26054299999998</v>
      </c>
      <c r="L25" s="165" t="s">
        <v>220</v>
      </c>
      <c r="M25" s="167"/>
      <c r="N25" s="163"/>
      <c r="O25" s="163"/>
      <c r="P25" s="168"/>
      <c r="Q25" s="166"/>
      <c r="R25" s="165"/>
      <c r="S25" s="170"/>
      <c r="T25" s="163"/>
      <c r="U25" s="339"/>
    </row>
    <row r="26" spans="1:21" x14ac:dyDescent="0.25">
      <c r="A26" s="180">
        <v>1</v>
      </c>
      <c r="B26" s="197" t="s">
        <v>394</v>
      </c>
      <c r="C26" s="84"/>
      <c r="D26" s="163"/>
      <c r="E26" s="84"/>
      <c r="F26" s="84" t="s">
        <v>511</v>
      </c>
      <c r="G26" s="338"/>
      <c r="H26" s="165" t="s">
        <v>515</v>
      </c>
      <c r="I26" s="527"/>
      <c r="J26" s="527"/>
      <c r="K26" s="337">
        <f>IF(A26=1,VLOOKUP(F26,STREAMDATA,2,FALSE),0)</f>
        <v>0.57005602399999999</v>
      </c>
      <c r="L26" s="165" t="s">
        <v>515</v>
      </c>
      <c r="M26" s="167"/>
      <c r="N26" s="163"/>
      <c r="O26" s="163"/>
      <c r="P26" s="168"/>
      <c r="Q26" s="166"/>
      <c r="R26" s="165"/>
      <c r="S26" s="170"/>
      <c r="T26" s="163"/>
      <c r="U26" s="339"/>
    </row>
    <row r="27" spans="1:21" x14ac:dyDescent="0.25">
      <c r="A27" s="621" t="s">
        <v>405</v>
      </c>
      <c r="B27" s="622"/>
      <c r="C27" s="84"/>
      <c r="D27" s="163"/>
      <c r="E27" s="84"/>
      <c r="F27" s="84"/>
      <c r="G27" s="164"/>
      <c r="H27" s="165"/>
      <c r="I27" s="165"/>
      <c r="J27" s="169"/>
      <c r="K27" s="166"/>
      <c r="L27" s="165"/>
      <c r="M27" s="167"/>
      <c r="N27" s="163"/>
      <c r="O27" s="168"/>
      <c r="P27" s="168"/>
      <c r="Q27" s="166"/>
      <c r="R27" s="165"/>
      <c r="S27" s="170"/>
      <c r="T27" s="168"/>
      <c r="U27" s="179"/>
    </row>
    <row r="28" spans="1:21" s="4" customFormat="1" ht="15.75" thickBot="1" x14ac:dyDescent="0.3">
      <c r="A28" s="181"/>
      <c r="B28" s="182" t="s">
        <v>406</v>
      </c>
      <c r="C28" s="182"/>
      <c r="D28" s="183"/>
      <c r="E28" s="182"/>
      <c r="F28" s="182"/>
      <c r="G28" s="184"/>
      <c r="H28" s="182"/>
      <c r="I28" s="185"/>
      <c r="J28" s="185"/>
      <c r="K28" s="182"/>
      <c r="L28" s="182"/>
      <c r="M28" s="186"/>
      <c r="N28" s="183"/>
      <c r="O28" s="187"/>
      <c r="P28" s="187"/>
      <c r="Q28" s="188"/>
      <c r="R28" s="188"/>
      <c r="S28" s="189"/>
      <c r="T28" s="187">
        <f ca="1">SUM(T15:T27)</f>
        <v>14976921.863657832</v>
      </c>
      <c r="U28" s="190">
        <f ca="1">SUM(U15:U27)</f>
        <v>22542288.574799128</v>
      </c>
    </row>
    <row r="29" spans="1:21" s="162" customFormat="1" ht="15.75" x14ac:dyDescent="0.25">
      <c r="A29" s="191"/>
      <c r="B29" s="192" t="s">
        <v>89</v>
      </c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3"/>
    </row>
    <row r="30" spans="1:21" ht="17.25" x14ac:dyDescent="0.25">
      <c r="A30" s="85">
        <v>1</v>
      </c>
      <c r="B30" s="171" t="s">
        <v>390</v>
      </c>
      <c r="C30" s="84" t="s">
        <v>3</v>
      </c>
      <c r="D30" s="172">
        <v>998850</v>
      </c>
      <c r="E30" s="171">
        <v>2012</v>
      </c>
      <c r="F30" s="84" t="s">
        <v>508</v>
      </c>
      <c r="G30" s="335">
        <v>6032</v>
      </c>
      <c r="H30" s="84" t="s">
        <v>516</v>
      </c>
      <c r="I30" s="175">
        <v>0.7</v>
      </c>
      <c r="J30" s="175">
        <v>2.2000000000000002</v>
      </c>
      <c r="K30" s="335">
        <f>HTLEquipSize!S6</f>
        <v>2397.8516929138709</v>
      </c>
      <c r="L30" s="84" t="s">
        <v>516</v>
      </c>
      <c r="M30" s="167">
        <f>K30/G30</f>
        <v>0.39752183237962052</v>
      </c>
      <c r="N30" s="163">
        <f>D30*M30^I30</f>
        <v>523664.29557107197</v>
      </c>
      <c r="O30" s="163">
        <f ca="1">N30*VLOOKUP(COSTYEAR,INDIRECT(INDEX_CAP),2,FALSE)/VLOOKUP(E30,INDIRECT(INDEX_CAP),2,FALSE)</f>
        <v>544177.31707052037</v>
      </c>
      <c r="P30" s="168">
        <f ca="1">O30*J30</f>
        <v>1197190.0975551449</v>
      </c>
      <c r="Q30" s="173"/>
      <c r="R30" s="175"/>
      <c r="S30" s="176">
        <v>1</v>
      </c>
      <c r="T30" s="163">
        <f ca="1">O30*S30</f>
        <v>544177.31707052037</v>
      </c>
      <c r="U30" s="339">
        <f ca="1">P30*S30</f>
        <v>1197190.0975551449</v>
      </c>
    </row>
    <row r="31" spans="1:21" ht="17.25" x14ac:dyDescent="0.25">
      <c r="A31" s="180">
        <v>1</v>
      </c>
      <c r="B31" s="171" t="s">
        <v>396</v>
      </c>
      <c r="C31" s="84" t="s">
        <v>3</v>
      </c>
      <c r="D31" s="163">
        <v>102000</v>
      </c>
      <c r="E31" s="84">
        <v>2012</v>
      </c>
      <c r="F31" s="84" t="s">
        <v>508</v>
      </c>
      <c r="G31" s="166">
        <v>868</v>
      </c>
      <c r="H31" s="84" t="s">
        <v>516</v>
      </c>
      <c r="I31" s="169">
        <v>0.7</v>
      </c>
      <c r="J31" s="169">
        <v>2.2000000000000002</v>
      </c>
      <c r="K31" s="166">
        <f>HTLEquipSize!S7</f>
        <v>56.30911831383883</v>
      </c>
      <c r="L31" s="84" t="s">
        <v>516</v>
      </c>
      <c r="M31" s="167">
        <f>K31/G31</f>
        <v>6.4872256121934133E-2</v>
      </c>
      <c r="N31" s="163">
        <f>D31*M31^I31</f>
        <v>15032.8551633611</v>
      </c>
      <c r="O31" s="163">
        <f ca="1">N31*VLOOKUP(COSTYEAR,INDIRECT(INDEX_CAP),2,FALSE)/VLOOKUP(E31,INDIRECT(INDEX_CAP),2,FALSE)</f>
        <v>15621.72342070111</v>
      </c>
      <c r="P31" s="168">
        <f ca="1">O31*J31</f>
        <v>34367.791525542445</v>
      </c>
      <c r="Q31" s="166"/>
      <c r="R31" s="169"/>
      <c r="S31" s="170">
        <v>1</v>
      </c>
      <c r="T31" s="163">
        <f ca="1">O31*S31</f>
        <v>15621.72342070111</v>
      </c>
      <c r="U31" s="339">
        <f ca="1">P31*S31</f>
        <v>34367.791525542445</v>
      </c>
    </row>
    <row r="32" spans="1:21" x14ac:dyDescent="0.25">
      <c r="A32" s="180">
        <v>1</v>
      </c>
      <c r="B32" s="171" t="s">
        <v>398</v>
      </c>
      <c r="C32" s="84" t="s">
        <v>3</v>
      </c>
      <c r="D32" s="163">
        <v>1200100</v>
      </c>
      <c r="E32" s="84">
        <v>2012</v>
      </c>
      <c r="F32" s="84" t="s">
        <v>181</v>
      </c>
      <c r="G32" s="166">
        <v>60</v>
      </c>
      <c r="H32" s="84" t="s">
        <v>520</v>
      </c>
      <c r="I32" s="169">
        <v>0.6</v>
      </c>
      <c r="J32" s="169">
        <v>1.8</v>
      </c>
      <c r="K32" s="166">
        <f>-IF(F32=0, 0, VLOOKUP(F32,STREAMDATA,2,FALSE))*3.97</f>
        <v>24.5325275806</v>
      </c>
      <c r="L32" s="84" t="s">
        <v>520</v>
      </c>
      <c r="M32" s="167">
        <f>K32/G32</f>
        <v>0.40887545967666666</v>
      </c>
      <c r="N32" s="163">
        <f>D32*M32^I32</f>
        <v>701733.26280899998</v>
      </c>
      <c r="O32" s="163">
        <f ca="1">N32*VLOOKUP(COSTYEAR,INDIRECT(INDEX_CAP),2,FALSE)/VLOOKUP(E32,INDIRECT(INDEX_CAP),2,FALSE)</f>
        <v>729221.61675755645</v>
      </c>
      <c r="P32" s="168">
        <f ca="1">O32*J32</f>
        <v>1312598.9101636016</v>
      </c>
      <c r="Q32" s="166"/>
      <c r="R32" s="169"/>
      <c r="S32" s="170">
        <v>1</v>
      </c>
      <c r="T32" s="163">
        <f ca="1">O32*S32</f>
        <v>729221.61675755645</v>
      </c>
      <c r="U32" s="339">
        <f ca="1">P32*S32</f>
        <v>1312598.9101636016</v>
      </c>
    </row>
    <row r="33" spans="1:21" x14ac:dyDescent="0.25">
      <c r="A33" s="180">
        <v>1</v>
      </c>
      <c r="B33" s="178" t="s">
        <v>399</v>
      </c>
      <c r="C33" s="84" t="s">
        <v>3</v>
      </c>
      <c r="D33" s="163">
        <v>2101710</v>
      </c>
      <c r="E33" s="84">
        <v>2012</v>
      </c>
      <c r="F33" s="84"/>
      <c r="G33" s="166">
        <v>1</v>
      </c>
      <c r="H33" s="84"/>
      <c r="I33" s="169">
        <v>1</v>
      </c>
      <c r="J33" s="169">
        <v>1</v>
      </c>
      <c r="K33" s="166">
        <v>1</v>
      </c>
      <c r="L33" s="84"/>
      <c r="M33" s="167">
        <f>K33/G33</f>
        <v>1</v>
      </c>
      <c r="N33" s="163">
        <f>D33*M33^I33</f>
        <v>2101710</v>
      </c>
      <c r="O33" s="163">
        <f ca="1">N33*VLOOKUP(COSTYEAR,INDIRECT(INDEX_CAP),2,FALSE)/VLOOKUP(E33,INDIRECT(INDEX_CAP),2,FALSE)</f>
        <v>2184038.3595620939</v>
      </c>
      <c r="P33" s="168">
        <f ca="1">O33*J33</f>
        <v>2184038.3595620939</v>
      </c>
      <c r="Q33" s="166"/>
      <c r="R33" s="169"/>
      <c r="S33" s="170">
        <v>1</v>
      </c>
      <c r="T33" s="163">
        <f ca="1">O33*S33</f>
        <v>2184038.3595620939</v>
      </c>
      <c r="U33" s="339">
        <f ca="1">P33*S33</f>
        <v>2184038.3595620939</v>
      </c>
    </row>
    <row r="34" spans="1:21" x14ac:dyDescent="0.25">
      <c r="A34" s="621" t="s">
        <v>409</v>
      </c>
      <c r="B34" s="622"/>
      <c r="C34" s="393"/>
      <c r="D34" s="163"/>
      <c r="E34" s="84"/>
      <c r="F34" s="84"/>
      <c r="G34" s="164"/>
      <c r="H34" s="84"/>
      <c r="I34" s="165"/>
      <c r="J34" s="169"/>
      <c r="K34" s="166"/>
      <c r="L34" s="84"/>
      <c r="M34" s="167"/>
      <c r="N34" s="163"/>
      <c r="O34" s="168"/>
      <c r="P34" s="168"/>
      <c r="Q34" s="166"/>
      <c r="R34" s="169"/>
      <c r="S34" s="170"/>
      <c r="T34" s="168"/>
      <c r="U34" s="179"/>
    </row>
    <row r="35" spans="1:21" s="4" customFormat="1" ht="15.75" thickBot="1" x14ac:dyDescent="0.3">
      <c r="A35" s="181"/>
      <c r="B35" s="182" t="s">
        <v>407</v>
      </c>
      <c r="C35" s="182"/>
      <c r="D35" s="183"/>
      <c r="E35" s="182"/>
      <c r="F35" s="182"/>
      <c r="G35" s="184"/>
      <c r="H35" s="182"/>
      <c r="I35" s="185"/>
      <c r="J35" s="185"/>
      <c r="K35" s="182"/>
      <c r="L35" s="182"/>
      <c r="M35" s="186"/>
      <c r="N35" s="183"/>
      <c r="O35" s="187"/>
      <c r="P35" s="187"/>
      <c r="Q35" s="188"/>
      <c r="R35" s="188"/>
      <c r="S35" s="189"/>
      <c r="T35" s="187">
        <f ca="1">SUM(T30:T34)</f>
        <v>3473059.0168108717</v>
      </c>
      <c r="U35" s="190">
        <f ca="1">SUM(U30:U34)</f>
        <v>4728195.1588063836</v>
      </c>
    </row>
    <row r="36" spans="1:21" s="162" customFormat="1" ht="15.75" x14ac:dyDescent="0.25">
      <c r="A36" s="191"/>
      <c r="B36" s="192" t="s">
        <v>88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3"/>
    </row>
    <row r="37" spans="1:21" x14ac:dyDescent="0.25">
      <c r="A37" s="180">
        <v>1</v>
      </c>
      <c r="B37" s="178" t="s">
        <v>751</v>
      </c>
      <c r="C37" s="84" t="s">
        <v>2</v>
      </c>
      <c r="D37" s="163">
        <v>2000000</v>
      </c>
      <c r="E37" s="84">
        <v>2009</v>
      </c>
      <c r="F37" s="84" t="s">
        <v>805</v>
      </c>
      <c r="G37" s="166">
        <v>35631668</v>
      </c>
      <c r="H37" s="84" t="s">
        <v>765</v>
      </c>
      <c r="I37" s="169">
        <v>0.6</v>
      </c>
      <c r="J37" s="169">
        <v>2.95</v>
      </c>
      <c r="K37" s="166">
        <f>2.205*IF(A37=1, VLOOKUP(F37, STREAMDATA, 2, FALSE), 0)</f>
        <v>1244044.980675</v>
      </c>
      <c r="L37" s="84" t="s">
        <v>765</v>
      </c>
      <c r="M37" s="167">
        <f>K37/G37</f>
        <v>3.4914025935440351E-2</v>
      </c>
      <c r="N37" s="163">
        <f>D37*M37^I37</f>
        <v>267196.00088343909</v>
      </c>
      <c r="O37" s="163">
        <f t="shared" ref="O37:O45" ca="1" si="14">N37*VLOOKUP(COSTYEAR,INDIRECT(INDEX_CAP),2,FALSE)/VLOOKUP(E37,INDIRECT(INDEX_CAP),2,FALSE)</f>
        <v>311020.44555794069</v>
      </c>
      <c r="P37" s="168">
        <f ca="1">O37*J37</f>
        <v>917510.31439592515</v>
      </c>
      <c r="Q37" s="166"/>
      <c r="R37" s="169"/>
      <c r="S37" s="170">
        <v>1</v>
      </c>
      <c r="T37" s="163">
        <f ca="1">O37*S37</f>
        <v>311020.44555794069</v>
      </c>
      <c r="U37" s="339">
        <f ca="1">P37*S37</f>
        <v>917510.31439592515</v>
      </c>
    </row>
    <row r="38" spans="1:21" x14ac:dyDescent="0.25">
      <c r="A38" s="180">
        <v>1</v>
      </c>
      <c r="B38" s="178" t="s">
        <v>752</v>
      </c>
      <c r="C38" s="84" t="s">
        <v>2</v>
      </c>
      <c r="D38" s="163">
        <v>445700</v>
      </c>
      <c r="E38" s="84">
        <v>2009</v>
      </c>
      <c r="F38" s="84" t="s">
        <v>805</v>
      </c>
      <c r="G38" s="166">
        <v>35631668</v>
      </c>
      <c r="H38" s="84" t="s">
        <v>765</v>
      </c>
      <c r="I38" s="169">
        <v>0.6</v>
      </c>
      <c r="J38" s="169">
        <v>2.95</v>
      </c>
      <c r="K38" s="166">
        <f>2.205*IF(A38=1, VLOOKUP(F38, STREAMDATA, 2, FALSE), 0)</f>
        <v>1244044.980675</v>
      </c>
      <c r="L38" s="84" t="s">
        <v>765</v>
      </c>
      <c r="M38" s="167">
        <f t="shared" ref="M38:M49" si="15">K38/G38</f>
        <v>3.4914025935440351E-2</v>
      </c>
      <c r="N38" s="163">
        <f t="shared" ref="N38:N49" si="16">D38*M38^I38</f>
        <v>59544.6287968744</v>
      </c>
      <c r="O38" s="163">
        <f t="shared" ca="1" si="14"/>
        <v>69310.906292587082</v>
      </c>
      <c r="P38" s="168">
        <f t="shared" ref="P38:P49" ca="1" si="17">O38*J38</f>
        <v>204467.17356313192</v>
      </c>
      <c r="Q38" s="166"/>
      <c r="R38" s="169"/>
      <c r="S38" s="170">
        <v>1</v>
      </c>
      <c r="T38" s="163">
        <f t="shared" ref="T38:T49" ca="1" si="18">O38*S38</f>
        <v>69310.906292587082</v>
      </c>
      <c r="U38" s="339">
        <f t="shared" ref="U38:U49" ca="1" si="19">P38*S38</f>
        <v>204467.17356313192</v>
      </c>
    </row>
    <row r="39" spans="1:21" x14ac:dyDescent="0.25">
      <c r="A39" s="180">
        <v>1</v>
      </c>
      <c r="B39" s="178" t="s">
        <v>753</v>
      </c>
      <c r="C39" s="84" t="s">
        <v>2</v>
      </c>
      <c r="D39" s="163">
        <v>32376</v>
      </c>
      <c r="E39" s="84">
        <v>2002</v>
      </c>
      <c r="F39" s="84" t="s">
        <v>539</v>
      </c>
      <c r="G39" s="166">
        <v>2000</v>
      </c>
      <c r="H39" s="84" t="s">
        <v>766</v>
      </c>
      <c r="I39" s="169">
        <v>0.34</v>
      </c>
      <c r="J39" s="169">
        <v>2.95</v>
      </c>
      <c r="K39" s="166">
        <f t="shared" ref="K39:K44" si="20">(24/1000)*IF(A39=1, VLOOKUP(F39, STREAMDATA, 2, FALSE), 0)</f>
        <v>354.10025040000005</v>
      </c>
      <c r="L39" s="84" t="s">
        <v>766</v>
      </c>
      <c r="M39" s="167">
        <f t="shared" si="15"/>
        <v>0.17705012520000002</v>
      </c>
      <c r="N39" s="163">
        <f t="shared" si="16"/>
        <v>17971.151789253156</v>
      </c>
      <c r="O39" s="163">
        <f t="shared" ca="1" si="14"/>
        <v>27597.25660255635</v>
      </c>
      <c r="P39" s="168">
        <f t="shared" ca="1" si="17"/>
        <v>81411.906977541235</v>
      </c>
      <c r="Q39" s="166"/>
      <c r="R39" s="169"/>
      <c r="S39" s="170">
        <v>1</v>
      </c>
      <c r="T39" s="163">
        <f t="shared" ca="1" si="18"/>
        <v>27597.25660255635</v>
      </c>
      <c r="U39" s="339">
        <f t="shared" ca="1" si="19"/>
        <v>81411.906977541235</v>
      </c>
    </row>
    <row r="40" spans="1:21" x14ac:dyDescent="0.25">
      <c r="A40" s="180">
        <v>1</v>
      </c>
      <c r="B40" s="178" t="s">
        <v>754</v>
      </c>
      <c r="C40" s="84" t="s">
        <v>2</v>
      </c>
      <c r="D40" s="163">
        <v>80000</v>
      </c>
      <c r="E40" s="84">
        <v>1998</v>
      </c>
      <c r="F40" s="84" t="s">
        <v>539</v>
      </c>
      <c r="G40" s="166">
        <v>2000</v>
      </c>
      <c r="H40" s="84" t="s">
        <v>766</v>
      </c>
      <c r="I40" s="169">
        <v>0.6</v>
      </c>
      <c r="J40" s="169">
        <v>2.95</v>
      </c>
      <c r="K40" s="166">
        <f t="shared" si="20"/>
        <v>354.10025040000005</v>
      </c>
      <c r="L40" s="84" t="s">
        <v>766</v>
      </c>
      <c r="M40" s="167">
        <f t="shared" si="15"/>
        <v>0.17705012520000002</v>
      </c>
      <c r="N40" s="163">
        <f t="shared" si="16"/>
        <v>28310.512403812434</v>
      </c>
      <c r="O40" s="163">
        <f t="shared" ca="1" si="14"/>
        <v>44155.67724086278</v>
      </c>
      <c r="P40" s="168">
        <f t="shared" ca="1" si="17"/>
        <v>130259.24786054521</v>
      </c>
      <c r="Q40" s="166"/>
      <c r="R40" s="169"/>
      <c r="S40" s="170">
        <v>1</v>
      </c>
      <c r="T40" s="163">
        <f t="shared" ca="1" si="18"/>
        <v>44155.67724086278</v>
      </c>
      <c r="U40" s="339">
        <f t="shared" ca="1" si="19"/>
        <v>130259.24786054521</v>
      </c>
    </row>
    <row r="41" spans="1:21" x14ac:dyDescent="0.25">
      <c r="A41" s="180">
        <v>1</v>
      </c>
      <c r="B41" s="178" t="s">
        <v>755</v>
      </c>
      <c r="C41" s="84" t="s">
        <v>2</v>
      </c>
      <c r="D41" s="163">
        <v>184000</v>
      </c>
      <c r="E41" s="84">
        <v>1997</v>
      </c>
      <c r="F41" s="84" t="s">
        <v>539</v>
      </c>
      <c r="G41" s="166">
        <v>2000</v>
      </c>
      <c r="H41" s="84" t="s">
        <v>766</v>
      </c>
      <c r="I41" s="169">
        <v>0.79</v>
      </c>
      <c r="J41" s="169">
        <v>2.95</v>
      </c>
      <c r="K41" s="166">
        <f t="shared" si="20"/>
        <v>354.10025040000005</v>
      </c>
      <c r="L41" s="84" t="s">
        <v>766</v>
      </c>
      <c r="M41" s="167">
        <f t="shared" si="15"/>
        <v>0.17705012520000002</v>
      </c>
      <c r="N41" s="163">
        <f t="shared" si="16"/>
        <v>46861.248078290351</v>
      </c>
      <c r="O41" s="163">
        <f t="shared" ca="1" si="14"/>
        <v>73656.424857856109</v>
      </c>
      <c r="P41" s="168">
        <f t="shared" ca="1" si="17"/>
        <v>217286.45333067555</v>
      </c>
      <c r="Q41" s="166"/>
      <c r="R41" s="169"/>
      <c r="S41" s="170">
        <v>1</v>
      </c>
      <c r="T41" s="163">
        <f t="shared" ca="1" si="18"/>
        <v>73656.424857856109</v>
      </c>
      <c r="U41" s="339">
        <f t="shared" ca="1" si="19"/>
        <v>217286.45333067555</v>
      </c>
    </row>
    <row r="42" spans="1:21" x14ac:dyDescent="0.25">
      <c r="A42" s="180">
        <v>1</v>
      </c>
      <c r="B42" s="178" t="s">
        <v>756</v>
      </c>
      <c r="C42" s="84" t="s">
        <v>2</v>
      </c>
      <c r="D42" s="163">
        <v>8349</v>
      </c>
      <c r="E42" s="84">
        <v>2002</v>
      </c>
      <c r="F42" s="84" t="s">
        <v>539</v>
      </c>
      <c r="G42" s="166">
        <v>2000</v>
      </c>
      <c r="H42" s="84" t="s">
        <v>766</v>
      </c>
      <c r="I42" s="169">
        <v>0.6</v>
      </c>
      <c r="J42" s="169">
        <v>2.95</v>
      </c>
      <c r="K42" s="166">
        <f t="shared" si="20"/>
        <v>354.10025040000005</v>
      </c>
      <c r="L42" s="84" t="s">
        <v>766</v>
      </c>
      <c r="M42" s="167">
        <f t="shared" si="15"/>
        <v>0.17705012520000002</v>
      </c>
      <c r="N42" s="163">
        <f t="shared" si="16"/>
        <v>2954.555850742875</v>
      </c>
      <c r="O42" s="163">
        <f t="shared" ca="1" si="14"/>
        <v>4537.1402409663715</v>
      </c>
      <c r="P42" s="168">
        <f t="shared" ca="1" si="17"/>
        <v>13384.563710850796</v>
      </c>
      <c r="Q42" s="166"/>
      <c r="R42" s="169"/>
      <c r="S42" s="170">
        <v>1</v>
      </c>
      <c r="T42" s="163">
        <f t="shared" ca="1" si="18"/>
        <v>4537.1402409663715</v>
      </c>
      <c r="U42" s="339">
        <f t="shared" ca="1" si="19"/>
        <v>13384.563710850796</v>
      </c>
    </row>
    <row r="43" spans="1:21" x14ac:dyDescent="0.25">
      <c r="A43" s="180">
        <v>1</v>
      </c>
      <c r="B43" s="178" t="s">
        <v>757</v>
      </c>
      <c r="C43" s="84" t="s">
        <v>2</v>
      </c>
      <c r="D43" s="163">
        <v>7003</v>
      </c>
      <c r="E43" s="84">
        <v>2002</v>
      </c>
      <c r="F43" s="84" t="s">
        <v>539</v>
      </c>
      <c r="G43" s="166">
        <v>2000</v>
      </c>
      <c r="H43" s="84" t="s">
        <v>766</v>
      </c>
      <c r="I43" s="169">
        <v>0.72</v>
      </c>
      <c r="J43" s="169">
        <v>2.95</v>
      </c>
      <c r="K43" s="166">
        <f t="shared" si="20"/>
        <v>354.10025040000005</v>
      </c>
      <c r="L43" s="84" t="s">
        <v>766</v>
      </c>
      <c r="M43" s="167">
        <f t="shared" si="15"/>
        <v>0.17705012520000002</v>
      </c>
      <c r="N43" s="163">
        <f t="shared" si="16"/>
        <v>2013.3228282574289</v>
      </c>
      <c r="O43" s="163">
        <f t="shared" ca="1" si="14"/>
        <v>3091.7432208452678</v>
      </c>
      <c r="P43" s="168">
        <f t="shared" ca="1" si="17"/>
        <v>9120.6425014935412</v>
      </c>
      <c r="Q43" s="166"/>
      <c r="R43" s="169"/>
      <c r="S43" s="170">
        <v>1</v>
      </c>
      <c r="T43" s="163">
        <f t="shared" ca="1" si="18"/>
        <v>3091.7432208452678</v>
      </c>
      <c r="U43" s="339">
        <f t="shared" ca="1" si="19"/>
        <v>9120.6425014935412</v>
      </c>
    </row>
    <row r="44" spans="1:21" x14ac:dyDescent="0.25">
      <c r="A44" s="180">
        <v>1</v>
      </c>
      <c r="B44" s="178" t="s">
        <v>758</v>
      </c>
      <c r="C44" s="84" t="s">
        <v>2</v>
      </c>
      <c r="D44" s="163">
        <v>166100</v>
      </c>
      <c r="E44" s="84">
        <v>1997</v>
      </c>
      <c r="F44" s="84" t="s">
        <v>539</v>
      </c>
      <c r="G44" s="166">
        <v>2000</v>
      </c>
      <c r="H44" s="84" t="s">
        <v>766</v>
      </c>
      <c r="I44" s="169">
        <v>0.51</v>
      </c>
      <c r="J44" s="169">
        <v>2.95</v>
      </c>
      <c r="K44" s="166">
        <f t="shared" si="20"/>
        <v>354.10025040000005</v>
      </c>
      <c r="L44" s="84" t="s">
        <v>766</v>
      </c>
      <c r="M44" s="167">
        <f t="shared" si="15"/>
        <v>0.17705012520000002</v>
      </c>
      <c r="N44" s="163">
        <f t="shared" si="16"/>
        <v>68690.822074534299</v>
      </c>
      <c r="O44" s="163">
        <f t="shared" ca="1" si="14"/>
        <v>107968.10972905456</v>
      </c>
      <c r="P44" s="168">
        <f t="shared" ca="1" si="17"/>
        <v>318505.92370071099</v>
      </c>
      <c r="Q44" s="166"/>
      <c r="R44" s="169"/>
      <c r="S44" s="170">
        <v>1</v>
      </c>
      <c r="T44" s="163">
        <f t="shared" ca="1" si="18"/>
        <v>107968.10972905456</v>
      </c>
      <c r="U44" s="339">
        <f t="shared" ca="1" si="19"/>
        <v>318505.92370071099</v>
      </c>
    </row>
    <row r="45" spans="1:21" x14ac:dyDescent="0.25">
      <c r="A45" s="180">
        <v>1</v>
      </c>
      <c r="B45" s="178" t="s">
        <v>759</v>
      </c>
      <c r="C45" s="84" t="s">
        <v>2</v>
      </c>
      <c r="D45" s="163">
        <v>470000</v>
      </c>
      <c r="E45" s="84">
        <v>2005</v>
      </c>
      <c r="F45" s="84" t="s">
        <v>174</v>
      </c>
      <c r="G45" s="166">
        <v>1056846</v>
      </c>
      <c r="H45" s="84" t="s">
        <v>767</v>
      </c>
      <c r="I45" s="169">
        <v>0.65</v>
      </c>
      <c r="J45" s="169">
        <v>2.95</v>
      </c>
      <c r="K45" s="166">
        <f>(3*24*0.264)*IF(A45=0,0,VLOOKUP(F45,STREAMDATA,2,FALSE)/K46)</f>
        <v>196222.66889410088</v>
      </c>
      <c r="L45" s="84" t="s">
        <v>767</v>
      </c>
      <c r="M45" s="167">
        <f t="shared" si="15"/>
        <v>0.18566817577404926</v>
      </c>
      <c r="N45" s="163">
        <f t="shared" si="16"/>
        <v>157317.56428515032</v>
      </c>
      <c r="O45" s="163">
        <f t="shared" ca="1" si="14"/>
        <v>204123.06771300477</v>
      </c>
      <c r="P45" s="168">
        <f t="shared" ca="1" si="17"/>
        <v>602163.04975336406</v>
      </c>
      <c r="Q45" s="166"/>
      <c r="R45" s="169"/>
      <c r="S45" s="170">
        <v>1</v>
      </c>
      <c r="T45" s="163">
        <f t="shared" ca="1" si="18"/>
        <v>204123.06771300477</v>
      </c>
      <c r="U45" s="339">
        <f t="shared" ca="1" si="19"/>
        <v>602163.04975336406</v>
      </c>
    </row>
    <row r="46" spans="1:21" x14ac:dyDescent="0.25">
      <c r="A46" s="180"/>
      <c r="B46" s="178"/>
      <c r="C46" s="84"/>
      <c r="D46" s="163"/>
      <c r="E46" s="84"/>
      <c r="F46" s="84" t="s">
        <v>762</v>
      </c>
      <c r="G46" s="166"/>
      <c r="H46" s="84" t="s">
        <v>222</v>
      </c>
      <c r="I46" s="169"/>
      <c r="J46" s="169"/>
      <c r="K46" s="528">
        <f>OPEX!$J$6</f>
        <v>0.646481949</v>
      </c>
      <c r="L46" s="84" t="s">
        <v>222</v>
      </c>
      <c r="M46" s="167"/>
      <c r="N46" s="163"/>
      <c r="O46" s="163"/>
      <c r="P46" s="168"/>
      <c r="Q46" s="166"/>
      <c r="R46" s="169"/>
      <c r="S46" s="170"/>
      <c r="T46" s="163"/>
      <c r="U46" s="339"/>
    </row>
    <row r="47" spans="1:21" x14ac:dyDescent="0.25">
      <c r="A47" s="180">
        <v>1</v>
      </c>
      <c r="B47" s="178" t="s">
        <v>760</v>
      </c>
      <c r="C47" s="84" t="s">
        <v>2</v>
      </c>
      <c r="D47" s="163">
        <v>320384</v>
      </c>
      <c r="E47" s="84">
        <v>2005</v>
      </c>
      <c r="F47" s="84" t="s">
        <v>160</v>
      </c>
      <c r="G47" s="166">
        <v>558000</v>
      </c>
      <c r="H47" s="84" t="s">
        <v>767</v>
      </c>
      <c r="I47" s="169">
        <v>0.65</v>
      </c>
      <c r="J47" s="169">
        <v>2.95</v>
      </c>
      <c r="K47" s="166">
        <f>(3*24*0.264)*IF(A47=0,0,VLOOKUP(F47,STREAMDATA,2,FALSE)/K48)</f>
        <v>22099.815223549733</v>
      </c>
      <c r="L47" s="84" t="s">
        <v>767</v>
      </c>
      <c r="M47" s="167">
        <f t="shared" si="15"/>
        <v>3.9605403626433215E-2</v>
      </c>
      <c r="N47" s="163">
        <f t="shared" si="16"/>
        <v>39283.593430070825</v>
      </c>
      <c r="O47" s="163">
        <f ca="1">N47*VLOOKUP(COSTYEAR,INDIRECT(INDEX_CAP),2,FALSE)/VLOOKUP(E47,INDIRECT(INDEX_CAP),2,FALSE)</f>
        <v>50971.343461700184</v>
      </c>
      <c r="P47" s="168">
        <f t="shared" ca="1" si="17"/>
        <v>150365.46321201554</v>
      </c>
      <c r="Q47" s="166"/>
      <c r="R47" s="169"/>
      <c r="S47" s="170">
        <v>1</v>
      </c>
      <c r="T47" s="163">
        <f t="shared" ca="1" si="18"/>
        <v>50971.343461700184</v>
      </c>
      <c r="U47" s="339">
        <f t="shared" ca="1" si="19"/>
        <v>150365.46321201554</v>
      </c>
    </row>
    <row r="48" spans="1:21" x14ac:dyDescent="0.25">
      <c r="A48" s="180"/>
      <c r="B48" s="178"/>
      <c r="C48" s="84"/>
      <c r="D48" s="163"/>
      <c r="E48" s="84"/>
      <c r="F48" s="84" t="s">
        <v>763</v>
      </c>
      <c r="G48" s="166"/>
      <c r="H48" s="84" t="s">
        <v>222</v>
      </c>
      <c r="I48" s="169"/>
      <c r="J48" s="169"/>
      <c r="K48" s="528">
        <f>OPEX!J4</f>
        <v>0.74470136656267083</v>
      </c>
      <c r="L48" s="84" t="s">
        <v>222</v>
      </c>
      <c r="M48" s="167"/>
      <c r="N48" s="163"/>
      <c r="O48" s="163"/>
      <c r="P48" s="168"/>
      <c r="Q48" s="166"/>
      <c r="R48" s="169"/>
      <c r="S48" s="170"/>
      <c r="T48" s="163"/>
      <c r="U48" s="339"/>
    </row>
    <row r="49" spans="1:21" x14ac:dyDescent="0.25">
      <c r="A49" s="180">
        <v>1</v>
      </c>
      <c r="B49" s="178" t="s">
        <v>761</v>
      </c>
      <c r="C49" s="84" t="s">
        <v>2</v>
      </c>
      <c r="D49" s="163">
        <v>320384</v>
      </c>
      <c r="E49" s="84">
        <v>2005</v>
      </c>
      <c r="F49" s="84" t="s">
        <v>159</v>
      </c>
      <c r="G49" s="166">
        <v>558000</v>
      </c>
      <c r="H49" s="84" t="s">
        <v>767</v>
      </c>
      <c r="I49" s="169">
        <v>0.65</v>
      </c>
      <c r="J49" s="169">
        <v>2.95</v>
      </c>
      <c r="K49" s="166">
        <f>(3*24*0.264)*IF(A49=0,0,VLOOKUP(F49,STREAMDATA,2,FALSE)/K50)</f>
        <v>99753.347736595504</v>
      </c>
      <c r="L49" s="84" t="s">
        <v>767</v>
      </c>
      <c r="M49" s="167">
        <f t="shared" si="15"/>
        <v>0.17876944038816397</v>
      </c>
      <c r="N49" s="163">
        <f t="shared" si="16"/>
        <v>104631.25913941466</v>
      </c>
      <c r="O49" s="163">
        <f ca="1">N49*VLOOKUP(COSTYEAR,INDIRECT(INDEX_CAP),2,FALSE)/VLOOKUP(E49,INDIRECT(INDEX_CAP),2,FALSE)</f>
        <v>135761.40522681418</v>
      </c>
      <c r="P49" s="168">
        <f t="shared" ca="1" si="17"/>
        <v>400496.14541910187</v>
      </c>
      <c r="Q49" s="166"/>
      <c r="R49" s="169"/>
      <c r="S49" s="170">
        <v>1</v>
      </c>
      <c r="T49" s="163">
        <f t="shared" ca="1" si="18"/>
        <v>135761.40522681418</v>
      </c>
      <c r="U49" s="339">
        <f t="shared" ca="1" si="19"/>
        <v>400496.14541910187</v>
      </c>
    </row>
    <row r="50" spans="1:21" x14ac:dyDescent="0.25">
      <c r="A50" s="180"/>
      <c r="B50" s="178"/>
      <c r="C50" s="84"/>
      <c r="D50" s="163"/>
      <c r="E50" s="84"/>
      <c r="F50" s="84" t="s">
        <v>764</v>
      </c>
      <c r="G50" s="166"/>
      <c r="H50" s="84" t="s">
        <v>222</v>
      </c>
      <c r="I50" s="169"/>
      <c r="J50" s="169"/>
      <c r="K50" s="528">
        <f>OPEX!J3</f>
        <v>0.83663328410925097</v>
      </c>
      <c r="L50" s="84" t="s">
        <v>222</v>
      </c>
      <c r="M50" s="167"/>
      <c r="N50" s="163"/>
      <c r="O50" s="163"/>
      <c r="P50" s="168"/>
      <c r="Q50" s="166"/>
      <c r="R50" s="169"/>
      <c r="S50" s="170"/>
      <c r="T50" s="163"/>
      <c r="U50" s="339"/>
    </row>
    <row r="51" spans="1:21" x14ac:dyDescent="0.25">
      <c r="A51" s="621" t="s">
        <v>506</v>
      </c>
      <c r="B51" s="622"/>
      <c r="C51" s="393"/>
      <c r="D51" s="163"/>
      <c r="E51" s="84"/>
      <c r="F51" s="84"/>
      <c r="G51" s="166"/>
      <c r="H51" s="84"/>
      <c r="I51" s="169"/>
      <c r="J51" s="169"/>
      <c r="K51" s="166"/>
      <c r="L51" s="84"/>
      <c r="M51" s="167"/>
      <c r="N51" s="163"/>
      <c r="O51" s="163"/>
      <c r="P51" s="168"/>
      <c r="Q51" s="166"/>
      <c r="R51" s="169"/>
      <c r="S51" s="170"/>
      <c r="T51" s="163"/>
      <c r="U51" s="339"/>
    </row>
    <row r="52" spans="1:21" s="4" customFormat="1" ht="15.75" thickBot="1" x14ac:dyDescent="0.3">
      <c r="A52" s="181"/>
      <c r="B52" s="182" t="s">
        <v>408</v>
      </c>
      <c r="C52" s="182"/>
      <c r="D52" s="183"/>
      <c r="E52" s="182"/>
      <c r="F52" s="182"/>
      <c r="G52" s="184"/>
      <c r="H52" s="182"/>
      <c r="I52" s="185"/>
      <c r="J52" s="185"/>
      <c r="K52" s="182"/>
      <c r="L52" s="182"/>
      <c r="M52" s="186"/>
      <c r="N52" s="183"/>
      <c r="O52" s="187"/>
      <c r="P52" s="187"/>
      <c r="Q52" s="188"/>
      <c r="R52" s="188"/>
      <c r="S52" s="189"/>
      <c r="T52" s="187">
        <f ca="1">SUM(T37:T51)</f>
        <v>1032193.5201441883</v>
      </c>
      <c r="U52" s="190">
        <f ca="1">SUM(U37:U51)</f>
        <v>3044970.8844253561</v>
      </c>
    </row>
    <row r="53" spans="1:21" ht="15.75" thickBot="1" x14ac:dyDescent="0.3">
      <c r="A53" s="198"/>
      <c r="B53" s="199" t="s">
        <v>375</v>
      </c>
      <c r="C53" s="199"/>
      <c r="D53" s="200"/>
      <c r="E53" s="199"/>
      <c r="F53" s="199"/>
      <c r="G53" s="201"/>
      <c r="H53" s="199"/>
      <c r="I53" s="202"/>
      <c r="J53" s="202"/>
      <c r="K53" s="199"/>
      <c r="L53" s="199"/>
      <c r="M53" s="203"/>
      <c r="N53" s="200"/>
      <c r="O53" s="204"/>
      <c r="P53" s="204"/>
      <c r="Q53" s="205"/>
      <c r="R53" s="205"/>
      <c r="S53" s="206"/>
      <c r="T53" s="204">
        <f ca="1">T13+T28+T35+T52</f>
        <v>38457739.950139783</v>
      </c>
      <c r="U53" s="207">
        <f ca="1">U13+U28+U35+U52</f>
        <v>69903645.178727224</v>
      </c>
    </row>
    <row r="54" spans="1:21" x14ac:dyDescent="0.25">
      <c r="A54" s="79"/>
      <c r="B54" s="80" t="s">
        <v>376</v>
      </c>
      <c r="C54" s="80"/>
      <c r="D54" s="208"/>
      <c r="E54" s="80"/>
      <c r="F54" s="80"/>
      <c r="G54" s="209"/>
      <c r="H54" s="80"/>
      <c r="I54" s="210"/>
      <c r="J54" s="210"/>
      <c r="K54" s="80"/>
      <c r="L54" s="80"/>
      <c r="M54" s="211"/>
      <c r="N54" s="208"/>
      <c r="O54" s="212"/>
      <c r="P54" s="212"/>
      <c r="Q54" s="213">
        <v>0.04</v>
      </c>
      <c r="R54" s="214" t="s">
        <v>72</v>
      </c>
      <c r="S54" s="215"/>
      <c r="T54" s="212"/>
      <c r="U54" s="216">
        <f ca="1">Q54*$U$53</f>
        <v>2796145.8071490889</v>
      </c>
    </row>
    <row r="55" spans="1:21" x14ac:dyDescent="0.25">
      <c r="A55" s="81"/>
      <c r="B55" s="3" t="s">
        <v>93</v>
      </c>
      <c r="D55" s="140"/>
      <c r="G55" s="154"/>
      <c r="I55" s="155"/>
      <c r="J55" s="155"/>
      <c r="M55" s="160"/>
      <c r="N55" s="140"/>
      <c r="O55" s="156"/>
      <c r="P55" s="156"/>
      <c r="Q55" s="161">
        <v>0.09</v>
      </c>
      <c r="R55" s="157" t="s">
        <v>72</v>
      </c>
      <c r="S55" s="158"/>
      <c r="T55" s="156"/>
      <c r="U55" s="159">
        <f ca="1">Q55*$U$53</f>
        <v>6291328.0660854504</v>
      </c>
    </row>
    <row r="56" spans="1:21" x14ac:dyDescent="0.25">
      <c r="A56" s="81"/>
      <c r="B56" s="3" t="s">
        <v>94</v>
      </c>
      <c r="D56" s="140"/>
      <c r="G56" s="154"/>
      <c r="I56" s="155"/>
      <c r="J56" s="155"/>
      <c r="M56" s="160"/>
      <c r="N56" s="140"/>
      <c r="O56" s="156"/>
      <c r="P56" s="156"/>
      <c r="Q56" s="161">
        <v>4.4999999999999998E-2</v>
      </c>
      <c r="R56" s="157" t="s">
        <v>72</v>
      </c>
      <c r="S56" s="158"/>
      <c r="T56" s="156"/>
      <c r="U56" s="159">
        <f ca="1">Q56*$U$53</f>
        <v>3145664.0330427252</v>
      </c>
    </row>
    <row r="57" spans="1:21" ht="15.75" thickBot="1" x14ac:dyDescent="0.3">
      <c r="A57" s="217"/>
      <c r="B57" s="134" t="s">
        <v>377</v>
      </c>
      <c r="C57" s="134"/>
      <c r="D57" s="218"/>
      <c r="E57" s="134"/>
      <c r="F57" s="134"/>
      <c r="G57" s="219"/>
      <c r="H57" s="134"/>
      <c r="I57" s="220"/>
      <c r="J57" s="220"/>
      <c r="K57" s="134"/>
      <c r="L57" s="134"/>
      <c r="M57" s="221"/>
      <c r="N57" s="218"/>
      <c r="O57" s="222"/>
      <c r="P57" s="222"/>
      <c r="Q57" s="223"/>
      <c r="R57" s="223"/>
      <c r="S57" s="224"/>
      <c r="T57" s="222"/>
      <c r="U57" s="225">
        <f ca="1">SUM(U53,U54:U56)</f>
        <v>82136783.085004479</v>
      </c>
    </row>
    <row r="58" spans="1:21" x14ac:dyDescent="0.25">
      <c r="A58" s="79"/>
      <c r="B58" s="80" t="s">
        <v>378</v>
      </c>
      <c r="C58" s="80"/>
      <c r="D58" s="208"/>
      <c r="E58" s="80"/>
      <c r="F58" s="80"/>
      <c r="G58" s="209"/>
      <c r="H58" s="80"/>
      <c r="I58" s="210"/>
      <c r="J58" s="210"/>
      <c r="K58" s="80"/>
      <c r="L58" s="80"/>
      <c r="M58" s="211"/>
      <c r="N58" s="208"/>
      <c r="O58" s="212"/>
      <c r="P58" s="212"/>
      <c r="Q58" s="213">
        <v>0.1</v>
      </c>
      <c r="R58" s="214" t="s">
        <v>379</v>
      </c>
      <c r="S58" s="215"/>
      <c r="T58" s="212"/>
      <c r="U58" s="216">
        <f ca="1">Q58*$U$57</f>
        <v>8213678.3085004482</v>
      </c>
    </row>
    <row r="59" spans="1:21" x14ac:dyDescent="0.25">
      <c r="A59" s="81"/>
      <c r="B59" s="3" t="s">
        <v>380</v>
      </c>
      <c r="D59" s="140"/>
      <c r="G59" s="154"/>
      <c r="I59" s="155"/>
      <c r="J59" s="155"/>
      <c r="M59" s="160"/>
      <c r="N59" s="140"/>
      <c r="O59" s="156"/>
      <c r="P59" s="156"/>
      <c r="Q59" s="161">
        <v>0.1</v>
      </c>
      <c r="R59" s="157" t="s">
        <v>379</v>
      </c>
      <c r="S59" s="158"/>
      <c r="T59" s="156"/>
      <c r="U59" s="159">
        <f ca="1">Q59*$U$57</f>
        <v>8213678.3085004482</v>
      </c>
    </row>
    <row r="60" spans="1:21" x14ac:dyDescent="0.25">
      <c r="A60" s="81"/>
      <c r="B60" s="3" t="s">
        <v>381</v>
      </c>
      <c r="D60" s="140"/>
      <c r="G60" s="154"/>
      <c r="I60" s="155"/>
      <c r="J60" s="155"/>
      <c r="M60" s="160"/>
      <c r="N60" s="140"/>
      <c r="O60" s="156"/>
      <c r="P60" s="156"/>
      <c r="Q60" s="161">
        <v>0.2</v>
      </c>
      <c r="R60" s="157" t="s">
        <v>379</v>
      </c>
      <c r="S60" s="158"/>
      <c r="T60" s="156"/>
      <c r="U60" s="159">
        <f ca="1">Q60*$U$57</f>
        <v>16427356.617000896</v>
      </c>
    </row>
    <row r="61" spans="1:21" x14ac:dyDescent="0.25">
      <c r="A61" s="81"/>
      <c r="B61" s="3" t="s">
        <v>382</v>
      </c>
      <c r="D61" s="140"/>
      <c r="G61" s="154"/>
      <c r="I61" s="155"/>
      <c r="J61" s="155"/>
      <c r="M61" s="160"/>
      <c r="N61" s="140"/>
      <c r="O61" s="156"/>
      <c r="P61" s="156"/>
      <c r="Q61" s="161">
        <v>0.1</v>
      </c>
      <c r="R61" s="157" t="s">
        <v>379</v>
      </c>
      <c r="S61" s="158"/>
      <c r="T61" s="156"/>
      <c r="U61" s="159">
        <f ca="1">Q61*$U$57</f>
        <v>8213678.3085004482</v>
      </c>
    </row>
    <row r="62" spans="1:21" x14ac:dyDescent="0.25">
      <c r="A62" s="81"/>
      <c r="B62" s="3" t="s">
        <v>383</v>
      </c>
      <c r="D62" s="140"/>
      <c r="G62" s="154"/>
      <c r="I62" s="155"/>
      <c r="J62" s="155"/>
      <c r="M62" s="160"/>
      <c r="N62" s="140"/>
      <c r="O62" s="156"/>
      <c r="P62" s="156"/>
      <c r="Q62" s="161">
        <v>0.1</v>
      </c>
      <c r="R62" s="157" t="s">
        <v>379</v>
      </c>
      <c r="S62" s="158"/>
      <c r="T62" s="156"/>
      <c r="U62" s="159">
        <f ca="1">Q62*$U$57</f>
        <v>8213678.3085004482</v>
      </c>
    </row>
    <row r="63" spans="1:21" ht="15.75" thickBot="1" x14ac:dyDescent="0.3">
      <c r="A63" s="217"/>
      <c r="B63" s="134" t="s">
        <v>384</v>
      </c>
      <c r="C63" s="134"/>
      <c r="D63" s="218"/>
      <c r="E63" s="134"/>
      <c r="F63" s="134"/>
      <c r="G63" s="219"/>
      <c r="H63" s="134"/>
      <c r="I63" s="220"/>
      <c r="J63" s="220"/>
      <c r="K63" s="134"/>
      <c r="L63" s="134"/>
      <c r="M63" s="221"/>
      <c r="N63" s="218"/>
      <c r="O63" s="222"/>
      <c r="P63" s="222"/>
      <c r="Q63" s="223"/>
      <c r="R63" s="223"/>
      <c r="S63" s="224"/>
      <c r="T63" s="222"/>
      <c r="U63" s="225">
        <f ca="1">SUM(U58:U62)</f>
        <v>49282069.851002686</v>
      </c>
    </row>
    <row r="64" spans="1:21" ht="15.75" x14ac:dyDescent="0.25">
      <c r="A64" s="142"/>
      <c r="B64" s="242" t="s">
        <v>385</v>
      </c>
      <c r="C64" s="242"/>
      <c r="D64" s="226"/>
      <c r="E64" s="131"/>
      <c r="F64" s="131"/>
      <c r="G64" s="227"/>
      <c r="H64" s="131"/>
      <c r="I64" s="228"/>
      <c r="J64" s="228"/>
      <c r="K64" s="131"/>
      <c r="L64" s="131"/>
      <c r="M64" s="229"/>
      <c r="N64" s="226"/>
      <c r="O64" s="230"/>
      <c r="P64" s="230"/>
      <c r="Q64" s="231"/>
      <c r="R64" s="231"/>
      <c r="S64" s="232"/>
      <c r="T64" s="230"/>
      <c r="U64" s="358">
        <f ca="1">U57+U63</f>
        <v>131418852.93600717</v>
      </c>
    </row>
    <row r="65" spans="1:21" x14ac:dyDescent="0.25">
      <c r="A65" s="81"/>
      <c r="B65" s="3" t="s">
        <v>127</v>
      </c>
      <c r="D65" s="140"/>
      <c r="G65" s="154"/>
      <c r="I65" s="155"/>
      <c r="J65" s="155"/>
      <c r="M65" s="160"/>
      <c r="N65" s="140"/>
      <c r="O65" s="156"/>
      <c r="P65" s="156"/>
      <c r="Q65" s="161">
        <v>0.05</v>
      </c>
      <c r="R65" s="157" t="s">
        <v>349</v>
      </c>
      <c r="S65" s="158"/>
      <c r="T65" s="156"/>
      <c r="U65" s="159">
        <f ca="1">Q65*$U$64</f>
        <v>6570942.6468003588</v>
      </c>
    </row>
    <row r="66" spans="1:21" ht="19.5" thickBot="1" x14ac:dyDescent="0.35">
      <c r="A66" s="233"/>
      <c r="B66" s="243" t="s">
        <v>386</v>
      </c>
      <c r="C66" s="243"/>
      <c r="D66" s="235"/>
      <c r="E66" s="234"/>
      <c r="F66" s="234"/>
      <c r="G66" s="236"/>
      <c r="H66" s="234"/>
      <c r="I66" s="237"/>
      <c r="J66" s="237"/>
      <c r="K66" s="234"/>
      <c r="L66" s="234"/>
      <c r="M66" s="238"/>
      <c r="N66" s="235"/>
      <c r="O66" s="239"/>
      <c r="P66" s="239"/>
      <c r="Q66" s="240"/>
      <c r="R66" s="240"/>
      <c r="S66" s="241"/>
      <c r="T66" s="239"/>
      <c r="U66" s="340">
        <f ca="1">SUM(U64:U65)</f>
        <v>137989795.58280754</v>
      </c>
    </row>
  </sheetData>
  <mergeCells count="6">
    <mergeCell ref="A27:B27"/>
    <mergeCell ref="A34:B34"/>
    <mergeCell ref="A51:B51"/>
    <mergeCell ref="O1:P1"/>
    <mergeCell ref="T1:U1"/>
    <mergeCell ref="A12:B12"/>
  </mergeCells>
  <conditionalFormatting sqref="A1 A13 A53:A1048576 A30:A33 A37:A50 A3:A11">
    <cfRule type="containsBlanks" priority="7">
      <formula>LEN(TRIM(A1))=0</formula>
    </cfRule>
  </conditionalFormatting>
  <pageMargins left="0.7" right="0.7" top="0.75" bottom="0.75" header="0.3" footer="0.3"/>
  <pageSetup orientation="portrait" horizontalDpi="300" verticalDpi="300" r:id="rId1"/>
  <ignoredErrors>
    <ignoredError sqref="K8:K9 K18 K46:K48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B9D2C13D-BA14-4631-9D32-AD7BF3253C1C}">
            <xm:f>NOT(ISERROR(SEARCH(0,A1)))</xm:f>
            <xm:f>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 A13 A53:A1048576 A30:A33 A37:A50 A3:A11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8">
    <tabColor theme="9" tint="0.59999389629810485"/>
  </sheetPr>
  <dimension ref="A1:L69"/>
  <sheetViews>
    <sheetView topLeftCell="A43" workbookViewId="0">
      <selection activeCell="G48" sqref="G48"/>
    </sheetView>
  </sheetViews>
  <sheetFormatPr defaultRowHeight="15" x14ac:dyDescent="0.25"/>
  <cols>
    <col min="1" max="1" width="31.85546875" bestFit="1" customWidth="1"/>
    <col min="2" max="2" width="34.5703125" bestFit="1" customWidth="1"/>
    <col min="3" max="3" width="32.42578125" bestFit="1" customWidth="1"/>
    <col min="4" max="4" width="11.140625" bestFit="1" customWidth="1"/>
    <col min="5" max="5" width="10.7109375" bestFit="1" customWidth="1"/>
    <col min="6" max="6" width="19" bestFit="1" customWidth="1"/>
    <col min="7" max="7" width="16.28515625" bestFit="1" customWidth="1"/>
    <col min="8" max="8" width="15.7109375" bestFit="1" customWidth="1"/>
    <col min="9" max="9" width="15.42578125" bestFit="1" customWidth="1"/>
    <col min="10" max="10" width="10.85546875" bestFit="1" customWidth="1"/>
    <col min="11" max="11" width="16.85546875" bestFit="1" customWidth="1"/>
    <col min="12" max="12" width="20.5703125" bestFit="1" customWidth="1"/>
    <col min="14" max="14" width="18" bestFit="1" customWidth="1"/>
    <col min="16" max="16" width="14.85546875" bestFit="1" customWidth="1"/>
  </cols>
  <sheetData>
    <row r="1" spans="1:12" ht="19.5" thickBot="1" x14ac:dyDescent="0.35">
      <c r="A1" s="624" t="s">
        <v>271</v>
      </c>
      <c r="B1" s="625"/>
      <c r="C1" s="625"/>
      <c r="D1" s="626"/>
      <c r="F1" s="126" t="s">
        <v>272</v>
      </c>
      <c r="G1" s="627" t="s">
        <v>282</v>
      </c>
      <c r="H1" s="627"/>
      <c r="I1" s="627"/>
      <c r="J1" s="627"/>
      <c r="K1" s="627"/>
      <c r="L1" s="628"/>
    </row>
    <row r="2" spans="1:12" ht="15.75" thickBot="1" x14ac:dyDescent="0.3">
      <c r="A2" s="127" t="s">
        <v>8</v>
      </c>
      <c r="B2" s="128" t="s">
        <v>55</v>
      </c>
      <c r="C2" s="128" t="s">
        <v>9</v>
      </c>
      <c r="D2" s="129" t="s">
        <v>292</v>
      </c>
      <c r="F2" s="127" t="s">
        <v>268</v>
      </c>
      <c r="G2" s="128" t="s">
        <v>277</v>
      </c>
      <c r="H2" s="128" t="s">
        <v>278</v>
      </c>
      <c r="I2" s="128" t="s">
        <v>9</v>
      </c>
      <c r="J2" s="128" t="s">
        <v>221</v>
      </c>
      <c r="K2" s="128" t="s">
        <v>9</v>
      </c>
      <c r="L2" s="129" t="s">
        <v>269</v>
      </c>
    </row>
    <row r="3" spans="1:12" x14ac:dyDescent="0.25">
      <c r="A3" s="79" t="s">
        <v>286</v>
      </c>
      <c r="B3" s="486">
        <v>330</v>
      </c>
      <c r="C3" s="80" t="s">
        <v>287</v>
      </c>
      <c r="D3" s="5"/>
      <c r="F3" s="79" t="s">
        <v>273</v>
      </c>
      <c r="G3" s="119">
        <v>137380</v>
      </c>
      <c r="H3" s="119">
        <v>128450</v>
      </c>
      <c r="I3" s="80" t="s">
        <v>279</v>
      </c>
      <c r="J3" s="121">
        <v>0.83663328410925097</v>
      </c>
      <c r="K3" s="80" t="s">
        <v>222</v>
      </c>
      <c r="L3" s="5"/>
    </row>
    <row r="4" spans="1:12" x14ac:dyDescent="0.25">
      <c r="A4" s="81" t="s">
        <v>606</v>
      </c>
      <c r="B4" s="120">
        <f>UPDAYS*24</f>
        <v>7920</v>
      </c>
      <c r="C4" s="3" t="s">
        <v>288</v>
      </c>
      <c r="D4" s="8"/>
      <c r="F4" s="81" t="s">
        <v>274</v>
      </c>
      <c r="G4" s="120">
        <v>124340</v>
      </c>
      <c r="H4" s="120">
        <v>116090</v>
      </c>
      <c r="I4" s="3" t="s">
        <v>279</v>
      </c>
      <c r="J4" s="122">
        <v>0.74470136656267083</v>
      </c>
      <c r="K4" s="3" t="s">
        <v>222</v>
      </c>
      <c r="L4" s="8"/>
    </row>
    <row r="5" spans="1:12" x14ac:dyDescent="0.25">
      <c r="A5" s="81" t="s">
        <v>284</v>
      </c>
      <c r="B5" s="3" t="s">
        <v>289</v>
      </c>
      <c r="C5" s="3"/>
      <c r="D5" s="8"/>
      <c r="F5" s="81" t="s">
        <v>275</v>
      </c>
      <c r="G5" s="120">
        <v>1089</v>
      </c>
      <c r="H5" s="120">
        <v>983</v>
      </c>
      <c r="I5" s="3" t="s">
        <v>280</v>
      </c>
      <c r="J5" s="122">
        <v>2.1999999999999999E-2</v>
      </c>
      <c r="K5" s="3" t="s">
        <v>283</v>
      </c>
      <c r="L5" s="8"/>
    </row>
    <row r="6" spans="1:12" ht="15.75" thickBot="1" x14ac:dyDescent="0.3">
      <c r="A6" s="82" t="s">
        <v>285</v>
      </c>
      <c r="B6" s="365">
        <f>VLOOKUP(D6, STREAMDATA, 2, FALSE)</f>
        <v>0.8</v>
      </c>
      <c r="C6" s="83" t="s">
        <v>290</v>
      </c>
      <c r="D6" s="6" t="s">
        <v>291</v>
      </c>
      <c r="F6" s="82" t="s">
        <v>276</v>
      </c>
      <c r="G6" s="123">
        <v>38.67</v>
      </c>
      <c r="H6" s="124"/>
      <c r="I6" s="83" t="s">
        <v>281</v>
      </c>
      <c r="J6" s="125">
        <f>VLOOKUP(L6, STREAMDATA, 2, FALSE)</f>
        <v>0.646481949</v>
      </c>
      <c r="K6" s="83" t="s">
        <v>222</v>
      </c>
      <c r="L6" s="6" t="s">
        <v>509</v>
      </c>
    </row>
    <row r="7" spans="1:12" ht="15.75" thickBot="1" x14ac:dyDescent="0.3"/>
    <row r="8" spans="1:12" ht="19.5" thickBot="1" x14ac:dyDescent="0.35">
      <c r="A8" s="624" t="s">
        <v>267</v>
      </c>
      <c r="B8" s="625"/>
      <c r="C8" s="625"/>
      <c r="D8" s="625"/>
      <c r="E8" s="625"/>
      <c r="F8" s="625"/>
      <c r="G8" s="625"/>
      <c r="H8" s="625"/>
      <c r="I8" s="625"/>
      <c r="J8" s="625"/>
      <c r="K8" s="625"/>
      <c r="L8" s="626"/>
    </row>
    <row r="9" spans="1:12" ht="15.75" thickBot="1" x14ac:dyDescent="0.3">
      <c r="A9" s="127" t="s">
        <v>268</v>
      </c>
      <c r="B9" s="128" t="s">
        <v>294</v>
      </c>
      <c r="C9" s="128" t="s">
        <v>209</v>
      </c>
      <c r="D9" s="128" t="s">
        <v>219</v>
      </c>
      <c r="E9" s="128" t="s">
        <v>9</v>
      </c>
      <c r="F9" s="128" t="s">
        <v>269</v>
      </c>
      <c r="G9" s="128" t="s">
        <v>221</v>
      </c>
      <c r="H9" s="128" t="s">
        <v>9</v>
      </c>
      <c r="I9" s="128" t="s">
        <v>270</v>
      </c>
      <c r="J9" s="128" t="s">
        <v>9</v>
      </c>
      <c r="K9" s="128" t="s">
        <v>295</v>
      </c>
      <c r="L9" s="129" t="s">
        <v>9</v>
      </c>
    </row>
    <row r="10" spans="1:12" x14ac:dyDescent="0.25">
      <c r="A10" s="79" t="s">
        <v>296</v>
      </c>
      <c r="B10" s="80">
        <v>1</v>
      </c>
      <c r="C10" s="80" t="s">
        <v>159</v>
      </c>
      <c r="D10" s="119">
        <f>VLOOKUP(C10, STREAMDATA, 2, FALSE)</f>
        <v>4390.6234700000005</v>
      </c>
      <c r="E10" s="80" t="s">
        <v>220</v>
      </c>
      <c r="F10" s="80" t="s">
        <v>611</v>
      </c>
      <c r="G10" s="121">
        <f>J3</f>
        <v>0.83663328410925097</v>
      </c>
      <c r="H10" s="80" t="s">
        <v>222</v>
      </c>
      <c r="I10" s="214">
        <f>IF(B10=1,(D10/$J3)*OPHOURS/3.78541/1000000,0)</f>
        <v>10.980024591853491</v>
      </c>
      <c r="J10" s="80" t="s">
        <v>300</v>
      </c>
      <c r="K10" s="214">
        <f>IF(B10=1, I10*$G3/$G$4, 0)</f>
        <v>12.131540762657492</v>
      </c>
      <c r="L10" s="5" t="s">
        <v>299</v>
      </c>
    </row>
    <row r="11" spans="1:12" x14ac:dyDescent="0.25">
      <c r="A11" s="81" t="s">
        <v>297</v>
      </c>
      <c r="B11" s="3">
        <v>1</v>
      </c>
      <c r="C11" s="3" t="s">
        <v>160</v>
      </c>
      <c r="D11" s="120">
        <f>VLOOKUP(C11, STREAMDATA, 2, FALSE)</f>
        <v>865.83347000000003</v>
      </c>
      <c r="E11" s="3" t="s">
        <v>220</v>
      </c>
      <c r="F11" s="104" t="s">
        <v>611</v>
      </c>
      <c r="G11" s="122">
        <f>J4</f>
        <v>0.74470136656267083</v>
      </c>
      <c r="H11" s="3" t="s">
        <v>222</v>
      </c>
      <c r="I11" s="157">
        <f>IF(B11=1,(D11/$J4)*OPHOURS/3.78541/1000000,0)</f>
        <v>2.4325651232351899</v>
      </c>
      <c r="J11" s="3" t="s">
        <v>300</v>
      </c>
      <c r="K11" s="157">
        <f t="shared" ref="K11" si="0">IF(B11=1, I11*$G4/$G$4, 0)</f>
        <v>2.4325651232351899</v>
      </c>
      <c r="L11" s="8" t="s">
        <v>299</v>
      </c>
    </row>
    <row r="12" spans="1:12" ht="15.75" thickBot="1" x14ac:dyDescent="0.3">
      <c r="A12" s="350" t="s">
        <v>298</v>
      </c>
      <c r="B12" s="351">
        <v>0</v>
      </c>
      <c r="C12" s="351" t="s">
        <v>174</v>
      </c>
      <c r="D12" s="352">
        <f>VLOOKUP(C12, STREAMDATA, 2, FALSE)</f>
        <v>6673.7380800000001</v>
      </c>
      <c r="E12" s="351" t="s">
        <v>220</v>
      </c>
      <c r="F12" s="351" t="s">
        <v>611</v>
      </c>
      <c r="G12" s="353">
        <f>J6</f>
        <v>0.646481949</v>
      </c>
      <c r="H12" s="351" t="s">
        <v>222</v>
      </c>
      <c r="I12" s="354">
        <f>IF(B12=1,(D12/$J6)*OPHOURS/3.78541/1000000,0)</f>
        <v>0</v>
      </c>
      <c r="J12" s="351" t="s">
        <v>300</v>
      </c>
      <c r="K12" s="356">
        <f>IF(B12=1, I12*(947.82*$G$6*$J$6*3.79)/$G$4, 0)</f>
        <v>0</v>
      </c>
      <c r="L12" s="355" t="s">
        <v>299</v>
      </c>
    </row>
    <row r="13" spans="1:12" x14ac:dyDescent="0.25">
      <c r="A13" s="130" t="s">
        <v>301</v>
      </c>
      <c r="B13" s="131"/>
      <c r="C13" s="131"/>
      <c r="D13" s="444">
        <f>SUM(D10:D12)</f>
        <v>11930.195019999999</v>
      </c>
      <c r="E13" s="131" t="s">
        <v>220</v>
      </c>
      <c r="F13" s="131"/>
      <c r="G13" s="131"/>
      <c r="H13" s="131"/>
      <c r="I13" s="231">
        <f>SUM(I10:I12)</f>
        <v>13.41258971508868</v>
      </c>
      <c r="J13" s="131" t="s">
        <v>300</v>
      </c>
      <c r="K13" s="231">
        <f>SUM(K10:K12)</f>
        <v>14.564105885892682</v>
      </c>
      <c r="L13" s="132" t="s">
        <v>299</v>
      </c>
    </row>
    <row r="14" spans="1:12" ht="15.75" thickBot="1" x14ac:dyDescent="0.3">
      <c r="A14" s="133" t="s">
        <v>302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220">
        <f>FUELGGE*(1000000/OPHOURS)/(FEEDAFDW/1000)</f>
        <v>124.63604346458487</v>
      </c>
      <c r="L14" s="135" t="s">
        <v>682</v>
      </c>
    </row>
    <row r="15" spans="1:12" ht="15.75" thickBot="1" x14ac:dyDescent="0.3"/>
    <row r="16" spans="1:12" ht="19.5" thickBot="1" x14ac:dyDescent="0.35">
      <c r="A16" s="624" t="s">
        <v>303</v>
      </c>
      <c r="B16" s="625"/>
      <c r="C16" s="625"/>
      <c r="D16" s="625"/>
      <c r="E16" s="625"/>
      <c r="F16" s="625"/>
      <c r="G16" s="625"/>
      <c r="H16" s="625"/>
      <c r="I16" s="625"/>
      <c r="J16" s="625"/>
      <c r="K16" s="625"/>
      <c r="L16" s="626"/>
    </row>
    <row r="17" spans="1:12" ht="15.75" thickBot="1" x14ac:dyDescent="0.3">
      <c r="A17" s="127" t="s">
        <v>294</v>
      </c>
      <c r="B17" s="128" t="s">
        <v>304</v>
      </c>
      <c r="C17" s="128" t="s">
        <v>209</v>
      </c>
      <c r="D17" s="128" t="s">
        <v>55</v>
      </c>
      <c r="E17" s="128" t="s">
        <v>9</v>
      </c>
      <c r="F17" s="128" t="s">
        <v>305</v>
      </c>
      <c r="G17" s="128" t="s">
        <v>9</v>
      </c>
      <c r="H17" s="128" t="s">
        <v>306</v>
      </c>
      <c r="I17" s="128" t="s">
        <v>9</v>
      </c>
      <c r="J17" s="128" t="s">
        <v>57</v>
      </c>
      <c r="K17" s="128" t="s">
        <v>231</v>
      </c>
      <c r="L17" s="129" t="s">
        <v>328</v>
      </c>
    </row>
    <row r="18" spans="1:12" ht="15.75" x14ac:dyDescent="0.25">
      <c r="A18" s="150"/>
      <c r="B18" s="151" t="s">
        <v>310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2"/>
    </row>
    <row r="19" spans="1:12" x14ac:dyDescent="0.25">
      <c r="A19" s="81">
        <v>1</v>
      </c>
      <c r="B19" s="3" t="s">
        <v>612</v>
      </c>
      <c r="C19" s="3" t="s">
        <v>539</v>
      </c>
      <c r="D19" s="154">
        <f>A19*VLOOKUP(C19, STREAMDATA, 2, FALSE)</f>
        <v>14754.177100000001</v>
      </c>
      <c r="E19" s="3" t="s">
        <v>220</v>
      </c>
      <c r="F19" s="368">
        <v>0</v>
      </c>
      <c r="G19" s="3" t="s">
        <v>624</v>
      </c>
      <c r="H19" s="371">
        <f>F19/2000*2.205</f>
        <v>0</v>
      </c>
      <c r="I19" s="3" t="s">
        <v>307</v>
      </c>
      <c r="J19" s="3">
        <v>2016</v>
      </c>
      <c r="K19" s="3"/>
      <c r="L19" s="141">
        <f ca="1">D19*H19*OPHOURS*VLOOKUP(COSTYEAR,INDIRECT(INDEX_CHEM), 2, FALSE)/VLOOKUP(J19, INDIRECT(INDEX_CHEM), 2, FALSE)</f>
        <v>0</v>
      </c>
    </row>
    <row r="20" spans="1:12" x14ac:dyDescent="0.25">
      <c r="A20" s="81">
        <v>1</v>
      </c>
      <c r="B20" s="3" t="s">
        <v>309</v>
      </c>
      <c r="C20" s="3" t="s">
        <v>193</v>
      </c>
      <c r="D20" s="154">
        <f>A20*VLOOKUP(C20, STREAMDATA, 2, FALSE)</f>
        <v>286.97073699999999</v>
      </c>
      <c r="E20" s="3" t="s">
        <v>220</v>
      </c>
      <c r="F20" s="368">
        <v>1.57</v>
      </c>
      <c r="G20" s="3" t="s">
        <v>307</v>
      </c>
      <c r="H20" s="371">
        <f>F20</f>
        <v>1.57</v>
      </c>
      <c r="I20" s="3" t="s">
        <v>307</v>
      </c>
      <c r="J20" s="3">
        <v>2012</v>
      </c>
      <c r="K20" s="3" t="s">
        <v>641</v>
      </c>
      <c r="L20" s="141">
        <f ca="1">D20*H20*OPHOURS*VLOOKUP(COSTYEAR,INDIRECT(INDEX_CHEM), 2, FALSE)/VLOOKUP(J20, INDIRECT(INDEX_CHEM), 2, FALSE)</f>
        <v>3345732.1348869177</v>
      </c>
    </row>
    <row r="21" spans="1:12" x14ac:dyDescent="0.25">
      <c r="A21" s="81">
        <v>1</v>
      </c>
      <c r="B21" s="3" t="s">
        <v>309</v>
      </c>
      <c r="C21" s="3" t="s">
        <v>194</v>
      </c>
      <c r="D21" s="154">
        <f>A21*VLOOKUP(C21, STREAMDATA, 2, FALSE)</f>
        <v>11.5652109</v>
      </c>
      <c r="E21" s="3" t="s">
        <v>220</v>
      </c>
      <c r="F21" s="368">
        <v>1.57</v>
      </c>
      <c r="G21" s="3" t="s">
        <v>307</v>
      </c>
      <c r="H21" s="371">
        <f>F21</f>
        <v>1.57</v>
      </c>
      <c r="I21" s="3" t="s">
        <v>307</v>
      </c>
      <c r="J21" s="3">
        <v>2012</v>
      </c>
      <c r="K21" s="3" t="s">
        <v>641</v>
      </c>
      <c r="L21" s="141">
        <f ca="1">D21*H21*OPHOURS*VLOOKUP(COSTYEAR,INDIRECT(INDEX_CHEM), 2, FALSE)/VLOOKUP(J21, INDIRECT(INDEX_CHEM), 2, FALSE)</f>
        <v>134836.38840455865</v>
      </c>
    </row>
    <row r="22" spans="1:12" x14ac:dyDescent="0.25">
      <c r="A22" s="395" t="s">
        <v>316</v>
      </c>
      <c r="B22" s="396"/>
      <c r="C22" s="396"/>
      <c r="D22" s="396"/>
      <c r="E22" s="396"/>
      <c r="F22" s="396"/>
      <c r="G22" s="396"/>
      <c r="H22" s="396"/>
      <c r="I22" s="396"/>
      <c r="J22" s="396"/>
      <c r="K22" s="396"/>
      <c r="L22" s="397"/>
    </row>
    <row r="23" spans="1:12" ht="15.75" thickBot="1" x14ac:dyDescent="0.3">
      <c r="A23" s="146"/>
      <c r="B23" s="136" t="s">
        <v>311</v>
      </c>
      <c r="C23" s="136"/>
      <c r="D23" s="136"/>
      <c r="E23" s="136"/>
      <c r="F23" s="136"/>
      <c r="G23" s="136"/>
      <c r="H23" s="136"/>
      <c r="I23" s="136"/>
      <c r="J23" s="136"/>
      <c r="K23" s="136"/>
      <c r="L23" s="300">
        <f ca="1">SUM(L19:L22)</f>
        <v>3480568.5232914761</v>
      </c>
    </row>
    <row r="24" spans="1:12" ht="15.75" x14ac:dyDescent="0.25">
      <c r="A24" s="150"/>
      <c r="B24" s="151" t="s">
        <v>312</v>
      </c>
      <c r="C24" s="151"/>
      <c r="D24" s="151"/>
      <c r="E24" s="151"/>
      <c r="F24" s="151"/>
      <c r="G24" s="151"/>
      <c r="H24" s="151"/>
      <c r="I24" s="151"/>
      <c r="J24" s="151"/>
      <c r="K24" s="151"/>
      <c r="L24" s="152"/>
    </row>
    <row r="25" spans="1:12" x14ac:dyDescent="0.25">
      <c r="A25" s="81">
        <v>0</v>
      </c>
      <c r="B25" s="3" t="s">
        <v>313</v>
      </c>
      <c r="C25" s="3" t="s">
        <v>163</v>
      </c>
      <c r="D25" s="154">
        <f>A25*VLOOKUP(C25, STREAMDATA, 2, FALSE)</f>
        <v>0</v>
      </c>
      <c r="E25" s="3" t="s">
        <v>220</v>
      </c>
      <c r="F25" s="368"/>
      <c r="G25" s="3" t="s">
        <v>624</v>
      </c>
      <c r="H25" s="370">
        <f t="shared" ref="H25" si="1">F25/2000*2.205</f>
        <v>0</v>
      </c>
      <c r="I25" s="3" t="s">
        <v>307</v>
      </c>
      <c r="J25" s="3">
        <v>2019</v>
      </c>
      <c r="K25" s="3"/>
      <c r="L25" s="141">
        <f ca="1">D25*H25*OPHOURS*VLOOKUP(COSTYEAR,INDIRECT(INDEX_CHEM), 2, FALSE)/VLOOKUP(J25, INDIRECT(INDEX_CHEM), 2, FALSE)</f>
        <v>0</v>
      </c>
    </row>
    <row r="26" spans="1:12" x14ac:dyDescent="0.25">
      <c r="A26" s="395" t="s">
        <v>355</v>
      </c>
      <c r="B26" s="396"/>
      <c r="C26" s="396"/>
      <c r="D26" s="396"/>
      <c r="E26" s="396"/>
      <c r="F26" s="396"/>
      <c r="G26" s="396"/>
      <c r="H26" s="396"/>
      <c r="I26" s="396"/>
      <c r="J26" s="396"/>
      <c r="K26" s="396"/>
      <c r="L26" s="397"/>
    </row>
    <row r="27" spans="1:12" ht="15.75" thickBot="1" x14ac:dyDescent="0.3">
      <c r="A27" s="146"/>
      <c r="B27" s="136" t="s">
        <v>314</v>
      </c>
      <c r="C27" s="136"/>
      <c r="D27" s="136"/>
      <c r="E27" s="136"/>
      <c r="F27" s="136"/>
      <c r="G27" s="136"/>
      <c r="H27" s="136"/>
      <c r="I27" s="136"/>
      <c r="J27" s="136"/>
      <c r="K27" s="136"/>
      <c r="L27" s="300">
        <f ca="1">SUM(L25:L26)</f>
        <v>0</v>
      </c>
    </row>
    <row r="28" spans="1:12" ht="15.75" x14ac:dyDescent="0.25">
      <c r="A28" s="150"/>
      <c r="B28" s="151" t="s">
        <v>315</v>
      </c>
      <c r="C28" s="151"/>
      <c r="D28" s="151"/>
      <c r="E28" s="151"/>
      <c r="F28" s="151"/>
      <c r="G28" s="151"/>
      <c r="H28" s="151"/>
      <c r="I28" s="151"/>
      <c r="J28" s="151"/>
      <c r="K28" s="151"/>
      <c r="L28" s="152"/>
    </row>
    <row r="29" spans="1:12" x14ac:dyDescent="0.25">
      <c r="A29" s="81">
        <v>1</v>
      </c>
      <c r="B29" s="3" t="s">
        <v>275</v>
      </c>
      <c r="C29" s="3" t="s">
        <v>195</v>
      </c>
      <c r="D29" s="154">
        <f>A29*VLOOKUP(C29, STREAMDATA, 2, FALSE)</f>
        <v>27.234051999999998</v>
      </c>
      <c r="E29" s="3" t="s">
        <v>220</v>
      </c>
      <c r="F29" s="368">
        <v>5.0999999999999996</v>
      </c>
      <c r="G29" s="104" t="s">
        <v>623</v>
      </c>
      <c r="H29" s="369">
        <f>(F29/$J$5)/1000</f>
        <v>0.23181818181818181</v>
      </c>
      <c r="I29" s="3" t="s">
        <v>307</v>
      </c>
      <c r="J29" s="3">
        <v>2011</v>
      </c>
      <c r="K29" s="3" t="s">
        <v>642</v>
      </c>
      <c r="L29" s="141">
        <f ca="1">D29*H29*OPHOURS*VLOOKUP(COSTYEAR,INDIRECT(INDEX_CHEM), 2, FALSE)/VLOOKUP(J29, INDIRECT(INDEX_CHEM), 2, FALSE)</f>
        <v>46459.544435045878</v>
      </c>
    </row>
    <row r="30" spans="1:12" x14ac:dyDescent="0.25">
      <c r="A30" s="81">
        <v>0</v>
      </c>
      <c r="B30" s="3" t="s">
        <v>275</v>
      </c>
      <c r="C30" s="3" t="s">
        <v>196</v>
      </c>
      <c r="D30" s="154">
        <f>A30*VLOOKUP(C30, STREAMDATA, 2, FALSE)</f>
        <v>0</v>
      </c>
      <c r="E30" s="3" t="s">
        <v>220</v>
      </c>
      <c r="F30" s="368">
        <v>5.0999999999999996</v>
      </c>
      <c r="G30" s="104" t="s">
        <v>623</v>
      </c>
      <c r="H30" s="369">
        <f>(F30/$J$5)/1000</f>
        <v>0.23181818181818181</v>
      </c>
      <c r="I30" s="3" t="s">
        <v>307</v>
      </c>
      <c r="J30" s="3">
        <v>2011</v>
      </c>
      <c r="K30" s="3" t="s">
        <v>642</v>
      </c>
      <c r="L30" s="141">
        <f ca="1">D30*H30*OPHOURS*VLOOKUP(COSTYEAR,INDIRECT(INDEX_CHEM), 2, FALSE)/VLOOKUP(J30, INDIRECT(INDEX_CHEM), 2, FALSE)</f>
        <v>0</v>
      </c>
    </row>
    <row r="31" spans="1:12" x14ac:dyDescent="0.25">
      <c r="A31" s="81">
        <v>1</v>
      </c>
      <c r="B31" s="3" t="s">
        <v>308</v>
      </c>
      <c r="C31" s="3" t="s">
        <v>784</v>
      </c>
      <c r="D31" s="154">
        <f>A31*VLOOKUP(C31, STREAMDATA, 2, FALSE)</f>
        <v>7793.5420199999999</v>
      </c>
      <c r="E31" s="3" t="s">
        <v>220</v>
      </c>
      <c r="F31" s="368">
        <v>0.22</v>
      </c>
      <c r="G31" s="3" t="s">
        <v>625</v>
      </c>
      <c r="H31" s="372">
        <f>F31/1000</f>
        <v>2.2000000000000001E-4</v>
      </c>
      <c r="I31" s="3" t="s">
        <v>307</v>
      </c>
      <c r="J31" s="3">
        <v>2011</v>
      </c>
      <c r="K31" s="3" t="s">
        <v>642</v>
      </c>
      <c r="L31" s="141">
        <f ca="1">D31*H31*OPHOURS*VLOOKUP(COSTYEAR,INDIRECT(INDEX_CHEM), 2, FALSE)/VLOOKUP(J31, INDIRECT(INDEX_CHEM), 2, FALSE)</f>
        <v>12617.483673671548</v>
      </c>
    </row>
    <row r="32" spans="1:12" x14ac:dyDescent="0.25">
      <c r="A32" s="81">
        <v>1</v>
      </c>
      <c r="B32" s="3" t="s">
        <v>640</v>
      </c>
      <c r="C32" s="3" t="s">
        <v>172</v>
      </c>
      <c r="D32" s="154">
        <f>A32*VLOOKUP(C32, STREAMDATA, 2, FALSE)</f>
        <v>1503.47072</v>
      </c>
      <c r="E32" s="3" t="s">
        <v>613</v>
      </c>
      <c r="F32" s="368">
        <f ca="1">VLOOKUP(J32, INDIRECT(INDEX_ELEC), 2, FALSE)/100</f>
        <v>3.6059123076923001E-2</v>
      </c>
      <c r="G32" s="3" t="s">
        <v>521</v>
      </c>
      <c r="H32" s="369">
        <f ca="1">F32</f>
        <v>3.6059123076923001E-2</v>
      </c>
      <c r="I32" s="104" t="s">
        <v>521</v>
      </c>
      <c r="J32" s="3">
        <v>2019</v>
      </c>
      <c r="K32" s="104" t="s">
        <v>643</v>
      </c>
      <c r="L32" s="141">
        <f ca="1">D32*H32*OPHOURS*VLOOKUP(COSTYEAR,INDIRECT(INDEX_ELEC), 2, FALSE)/VLOOKUP(J32, INDIRECT(INDEX_ELEC), 2, FALSE)</f>
        <v>429373.57902143791</v>
      </c>
    </row>
    <row r="33" spans="1:12" x14ac:dyDescent="0.25">
      <c r="A33" s="395" t="s">
        <v>356</v>
      </c>
      <c r="B33" s="396"/>
      <c r="C33" s="396"/>
      <c r="D33" s="396"/>
      <c r="E33" s="396"/>
      <c r="F33" s="396"/>
      <c r="G33" s="396"/>
      <c r="H33" s="396"/>
      <c r="I33" s="396"/>
      <c r="J33" s="396"/>
      <c r="K33" s="396"/>
      <c r="L33" s="397"/>
    </row>
    <row r="34" spans="1:12" ht="15.75" thickBot="1" x14ac:dyDescent="0.3">
      <c r="A34" s="146"/>
      <c r="B34" s="136" t="s">
        <v>317</v>
      </c>
      <c r="C34" s="136"/>
      <c r="D34" s="136"/>
      <c r="E34" s="136"/>
      <c r="F34" s="136"/>
      <c r="G34" s="136"/>
      <c r="H34" s="136"/>
      <c r="I34" s="136"/>
      <c r="J34" s="136"/>
      <c r="K34" s="136"/>
      <c r="L34" s="300">
        <f ca="1">SUM(L29:L33)</f>
        <v>488450.60713015532</v>
      </c>
    </row>
    <row r="35" spans="1:12" ht="15.75" x14ac:dyDescent="0.25">
      <c r="A35" s="150"/>
      <c r="B35" s="151" t="s">
        <v>318</v>
      </c>
      <c r="C35" s="151"/>
      <c r="D35" s="151"/>
      <c r="E35" s="151"/>
      <c r="F35" s="151"/>
      <c r="G35" s="151"/>
      <c r="H35" s="151"/>
      <c r="I35" s="151"/>
      <c r="J35" s="151"/>
      <c r="K35" s="151"/>
      <c r="L35" s="152"/>
    </row>
    <row r="36" spans="1:12" x14ac:dyDescent="0.25">
      <c r="A36" s="81">
        <v>0</v>
      </c>
      <c r="B36" s="3" t="s">
        <v>319</v>
      </c>
      <c r="C36" s="3"/>
      <c r="D36" s="154"/>
      <c r="E36" s="3"/>
      <c r="F36" s="368">
        <f ca="1">VLOOKUP(J36, INDIRECT(INDEX_ELEC), 2, FALSE)/100</f>
        <v>3.6059123076923001E-2</v>
      </c>
      <c r="G36" s="3" t="s">
        <v>521</v>
      </c>
      <c r="H36" s="369">
        <f ca="1">F36</f>
        <v>3.6059123076923001E-2</v>
      </c>
      <c r="I36" s="104" t="s">
        <v>521</v>
      </c>
      <c r="J36" s="3">
        <v>2019</v>
      </c>
      <c r="K36" s="3" t="s">
        <v>643</v>
      </c>
      <c r="L36" s="141">
        <f ca="1">D36*H36*OPHOURS*VLOOKUP(COSTYEAR,INDIRECT(INDEX_ELEC), 2, FALSE)/VLOOKUP(J36, INDIRECT(INDEX_ELEC), 2, FALSE)</f>
        <v>0</v>
      </c>
    </row>
    <row r="37" spans="1:12" ht="18" x14ac:dyDescent="0.35">
      <c r="A37" s="81">
        <v>0</v>
      </c>
      <c r="B37" s="3" t="s">
        <v>320</v>
      </c>
      <c r="C37" s="3"/>
      <c r="D37" s="154"/>
      <c r="E37" s="3"/>
      <c r="F37" s="368">
        <v>37.119999999999997</v>
      </c>
      <c r="G37" s="3" t="s">
        <v>624</v>
      </c>
      <c r="H37" s="369">
        <f t="shared" ref="H37:H39" si="2">F37/2000*2.205</f>
        <v>4.0924800000000004E-2</v>
      </c>
      <c r="I37" s="3" t="s">
        <v>307</v>
      </c>
      <c r="J37" s="3">
        <v>2014</v>
      </c>
      <c r="K37" s="3"/>
      <c r="L37" s="141">
        <f ca="1">D37*H37*OPHOURS*VLOOKUP(COSTYEAR,INDIRECT(INDEX_CHEM), 2, FALSE)/VLOOKUP(J37, INDIRECT(INDEX_CHEM), 2, FALSE)</f>
        <v>0</v>
      </c>
    </row>
    <row r="38" spans="1:12" ht="18" x14ac:dyDescent="0.35">
      <c r="A38" s="398">
        <v>0.6</v>
      </c>
      <c r="B38" s="3" t="s">
        <v>321</v>
      </c>
      <c r="C38" s="3" t="s">
        <v>615</v>
      </c>
      <c r="D38" s="154">
        <f>A38*VLOOKUP(C38, STREAMDATA, 2, FALSE)</f>
        <v>635.14694399999996</v>
      </c>
      <c r="E38" s="3" t="s">
        <v>220</v>
      </c>
      <c r="F38" s="368">
        <v>772.3</v>
      </c>
      <c r="G38" s="3" t="s">
        <v>624</v>
      </c>
      <c r="H38" s="369">
        <f t="shared" si="2"/>
        <v>0.85146074999999999</v>
      </c>
      <c r="I38" s="3" t="s">
        <v>307</v>
      </c>
      <c r="J38" s="3">
        <v>2011</v>
      </c>
      <c r="K38" s="3"/>
      <c r="L38" s="141">
        <f ca="1">D38*H38*OPHOURS*VLOOKUP(COSTYEAR,INDIRECT(INDEX_CHEM), 2, FALSE)/VLOOKUP(J38, INDIRECT(INDEX_CHEM), 2, FALSE)</f>
        <v>3979733.9059464755</v>
      </c>
    </row>
    <row r="39" spans="1:12" x14ac:dyDescent="0.25">
      <c r="A39" s="398">
        <v>0.6</v>
      </c>
      <c r="B39" s="3" t="s">
        <v>322</v>
      </c>
      <c r="C39" s="3" t="s">
        <v>616</v>
      </c>
      <c r="D39" s="154">
        <f>A39*VLOOKUP(C39, STREAMDATA, 2, FALSE)</f>
        <v>428.18817419999999</v>
      </c>
      <c r="E39" s="3" t="s">
        <v>220</v>
      </c>
      <c r="F39" s="368">
        <v>630</v>
      </c>
      <c r="G39" s="104" t="s">
        <v>624</v>
      </c>
      <c r="H39" s="369">
        <f t="shared" si="2"/>
        <v>0.69457500000000005</v>
      </c>
      <c r="I39" s="104" t="s">
        <v>307</v>
      </c>
      <c r="J39" s="104">
        <v>2011</v>
      </c>
      <c r="K39" s="104"/>
      <c r="L39" s="141">
        <f ca="1">D39*H39*OPHOURS*VLOOKUP(COSTYEAR,INDIRECT(INDEX_CHEM), 2, FALSE)/VLOOKUP(J39, INDIRECT(INDEX_CHEM), 2, FALSE)</f>
        <v>2188613.1565386578</v>
      </c>
    </row>
    <row r="40" spans="1:12" s="362" customFormat="1" x14ac:dyDescent="0.25">
      <c r="A40" s="398">
        <v>0</v>
      </c>
      <c r="B40" s="104" t="s">
        <v>622</v>
      </c>
      <c r="C40" s="3" t="s">
        <v>163</v>
      </c>
      <c r="D40" s="154">
        <f>A40*VLOOKUP(C40, STREAMDATA, 2, FALSE)</f>
        <v>0</v>
      </c>
      <c r="E40" s="3" t="s">
        <v>220</v>
      </c>
      <c r="F40" s="368">
        <v>40</v>
      </c>
      <c r="G40" s="104" t="s">
        <v>624</v>
      </c>
      <c r="H40" s="369">
        <f t="shared" ref="H40" si="3">F40/2000*2.205</f>
        <v>4.41E-2</v>
      </c>
      <c r="I40" s="104" t="s">
        <v>307</v>
      </c>
      <c r="J40" s="104">
        <v>2019</v>
      </c>
      <c r="K40" s="104"/>
      <c r="L40" s="141">
        <f ca="1">D40*H40*OPHOURS*VLOOKUP(COSTYEAR,INDIRECT(INDEX_CHEM), 2, FALSE)/VLOOKUP(J40, INDIRECT(INDEX_CHEM), 2, FALSE)</f>
        <v>0</v>
      </c>
    </row>
    <row r="41" spans="1:12" x14ac:dyDescent="0.25">
      <c r="A41" s="395" t="s">
        <v>357</v>
      </c>
      <c r="B41" s="396"/>
      <c r="C41" s="396"/>
      <c r="D41" s="396"/>
      <c r="E41" s="396"/>
      <c r="F41" s="396"/>
      <c r="G41" s="396"/>
      <c r="H41" s="396"/>
      <c r="I41" s="396"/>
      <c r="J41" s="396"/>
      <c r="K41" s="396"/>
      <c r="L41" s="397"/>
    </row>
    <row r="42" spans="1:12" ht="15.75" thickBot="1" x14ac:dyDescent="0.3">
      <c r="A42" s="146"/>
      <c r="B42" s="136" t="s">
        <v>323</v>
      </c>
      <c r="C42" s="136"/>
      <c r="D42" s="136"/>
      <c r="E42" s="136"/>
      <c r="F42" s="136"/>
      <c r="G42" s="136"/>
      <c r="H42" s="136"/>
      <c r="I42" s="136"/>
      <c r="J42" s="136"/>
      <c r="K42" s="136"/>
      <c r="L42" s="300">
        <f ca="1">-SUM(L36:L41)</f>
        <v>-6168347.0624851333</v>
      </c>
    </row>
    <row r="43" spans="1:12" ht="16.5" thickBot="1" x14ac:dyDescent="0.3">
      <c r="A43" s="137"/>
      <c r="B43" s="139" t="s">
        <v>324</v>
      </c>
      <c r="C43" s="138"/>
      <c r="D43" s="138"/>
      <c r="E43" s="138"/>
      <c r="F43" s="138"/>
      <c r="G43" s="138"/>
      <c r="H43" s="138"/>
      <c r="I43" s="138"/>
      <c r="J43" s="138"/>
      <c r="K43" s="138"/>
      <c r="L43" s="360">
        <f ca="1">SUM(L23,L27,L34,L42)</f>
        <v>-2199327.9320635018</v>
      </c>
    </row>
    <row r="44" spans="1:12" ht="15.75" thickBot="1" x14ac:dyDescent="0.3"/>
    <row r="45" spans="1:12" ht="19.5" thickBot="1" x14ac:dyDescent="0.35">
      <c r="A45" s="624" t="s">
        <v>325</v>
      </c>
      <c r="B45" s="625"/>
      <c r="C45" s="625"/>
      <c r="D45" s="625"/>
      <c r="E45" s="625"/>
      <c r="F45" s="625"/>
      <c r="G45" s="625"/>
      <c r="H45" s="626"/>
    </row>
    <row r="46" spans="1:12" ht="16.5" thickBot="1" x14ac:dyDescent="0.3">
      <c r="A46" s="399" t="s">
        <v>332</v>
      </c>
      <c r="B46" s="400"/>
      <c r="C46" s="400"/>
      <c r="D46" s="400"/>
      <c r="E46" s="400"/>
      <c r="F46" s="400"/>
      <c r="G46" s="400"/>
      <c r="H46" s="401"/>
    </row>
    <row r="47" spans="1:12" x14ac:dyDescent="0.25">
      <c r="A47" s="143"/>
      <c r="B47" s="144" t="s">
        <v>326</v>
      </c>
      <c r="C47" s="144" t="s">
        <v>329</v>
      </c>
      <c r="D47" s="144" t="s">
        <v>57</v>
      </c>
      <c r="E47" s="144" t="s">
        <v>327</v>
      </c>
      <c r="F47" s="144" t="s">
        <v>231</v>
      </c>
      <c r="G47" s="144" t="s">
        <v>330</v>
      </c>
      <c r="H47" s="145" t="s">
        <v>331</v>
      </c>
    </row>
    <row r="48" spans="1:12" x14ac:dyDescent="0.25">
      <c r="A48" s="81"/>
      <c r="B48" s="3" t="s">
        <v>335</v>
      </c>
      <c r="C48" s="3">
        <v>1</v>
      </c>
      <c r="D48" s="3">
        <v>2009</v>
      </c>
      <c r="E48" s="140">
        <v>147000</v>
      </c>
      <c r="F48" s="402" t="s">
        <v>642</v>
      </c>
      <c r="G48" s="140">
        <f t="shared" ref="G48:G57" ca="1" si="4">E48*VLOOKUP(COSTYEAR, INDIRECT(INDEX_LABOR), 2, FALSE)/VLOOKUP(D48, INDIRECT(INDEX_LABOR), 2, FALSE)</f>
        <v>184365.5172413793</v>
      </c>
      <c r="H48" s="141">
        <f t="shared" ref="H48:H57" ca="1" si="5">C48*G48</f>
        <v>184365.5172413793</v>
      </c>
    </row>
    <row r="49" spans="1:8" x14ac:dyDescent="0.25">
      <c r="A49" s="81"/>
      <c r="B49" s="3" t="s">
        <v>334</v>
      </c>
      <c r="C49" s="3">
        <v>2</v>
      </c>
      <c r="D49" s="3">
        <v>2009</v>
      </c>
      <c r="E49" s="140">
        <v>70000</v>
      </c>
      <c r="F49" s="402" t="s">
        <v>642</v>
      </c>
      <c r="G49" s="140">
        <f t="shared" ca="1" si="4"/>
        <v>87793.103448275855</v>
      </c>
      <c r="H49" s="141">
        <f t="shared" ca="1" si="5"/>
        <v>175586.20689655171</v>
      </c>
    </row>
    <row r="50" spans="1:8" x14ac:dyDescent="0.25">
      <c r="A50" s="81"/>
      <c r="B50" s="3" t="s">
        <v>336</v>
      </c>
      <c r="C50" s="3">
        <v>1</v>
      </c>
      <c r="D50" s="3">
        <v>2009</v>
      </c>
      <c r="E50" s="140">
        <v>57000</v>
      </c>
      <c r="F50" s="402" t="s">
        <v>642</v>
      </c>
      <c r="G50" s="140">
        <f t="shared" ca="1" si="4"/>
        <v>71488.669950738913</v>
      </c>
      <c r="H50" s="141">
        <f t="shared" ca="1" si="5"/>
        <v>71488.669950738913</v>
      </c>
    </row>
    <row r="51" spans="1:8" x14ac:dyDescent="0.25">
      <c r="A51" s="81"/>
      <c r="B51" s="3" t="s">
        <v>337</v>
      </c>
      <c r="C51" s="3">
        <v>5</v>
      </c>
      <c r="D51" s="3">
        <v>2009</v>
      </c>
      <c r="E51" s="140">
        <v>40000</v>
      </c>
      <c r="F51" s="402" t="s">
        <v>642</v>
      </c>
      <c r="G51" s="140">
        <f t="shared" ca="1" si="4"/>
        <v>50167.487684729065</v>
      </c>
      <c r="H51" s="141">
        <f t="shared" ca="1" si="5"/>
        <v>250837.43842364533</v>
      </c>
    </row>
    <row r="52" spans="1:8" x14ac:dyDescent="0.25">
      <c r="A52" s="81"/>
      <c r="B52" s="3" t="s">
        <v>338</v>
      </c>
      <c r="C52" s="3">
        <v>1</v>
      </c>
      <c r="D52" s="3">
        <v>2009</v>
      </c>
      <c r="E52" s="140">
        <v>56000</v>
      </c>
      <c r="F52" s="402" t="s">
        <v>642</v>
      </c>
      <c r="G52" s="140">
        <f t="shared" ca="1" si="4"/>
        <v>70234.482758620681</v>
      </c>
      <c r="H52" s="141">
        <f t="shared" ca="1" si="5"/>
        <v>70234.482758620681</v>
      </c>
    </row>
    <row r="53" spans="1:8" x14ac:dyDescent="0.25">
      <c r="A53" s="81"/>
      <c r="B53" s="3" t="s">
        <v>339</v>
      </c>
      <c r="C53" s="3">
        <v>2</v>
      </c>
      <c r="D53" s="3">
        <v>2009</v>
      </c>
      <c r="E53" s="140">
        <v>40000</v>
      </c>
      <c r="F53" s="402" t="s">
        <v>642</v>
      </c>
      <c r="G53" s="140">
        <f t="shared" ca="1" si="4"/>
        <v>50167.487684729065</v>
      </c>
      <c r="H53" s="141">
        <f t="shared" ca="1" si="5"/>
        <v>100334.97536945813</v>
      </c>
    </row>
    <row r="54" spans="1:8" x14ac:dyDescent="0.25">
      <c r="A54" s="81"/>
      <c r="B54" s="3" t="s">
        <v>340</v>
      </c>
      <c r="C54" s="3">
        <v>2</v>
      </c>
      <c r="D54" s="3">
        <v>2009</v>
      </c>
      <c r="E54" s="140">
        <v>48000</v>
      </c>
      <c r="F54" s="402" t="s">
        <v>642</v>
      </c>
      <c r="G54" s="140">
        <f t="shared" ca="1" si="4"/>
        <v>60200.985221674877</v>
      </c>
      <c r="H54" s="141">
        <f t="shared" ca="1" si="5"/>
        <v>120401.97044334975</v>
      </c>
    </row>
    <row r="55" spans="1:8" x14ac:dyDescent="0.25">
      <c r="A55" s="81"/>
      <c r="B55" s="3" t="s">
        <v>341</v>
      </c>
      <c r="C55" s="3">
        <v>9</v>
      </c>
      <c r="D55" s="3">
        <v>2009</v>
      </c>
      <c r="E55" s="140">
        <v>40000</v>
      </c>
      <c r="F55" s="402" t="s">
        <v>642</v>
      </c>
      <c r="G55" s="140">
        <f t="shared" ca="1" si="4"/>
        <v>50167.487684729065</v>
      </c>
      <c r="H55" s="141">
        <f t="shared" ca="1" si="5"/>
        <v>451507.38916256157</v>
      </c>
    </row>
    <row r="56" spans="1:8" x14ac:dyDescent="0.25">
      <c r="A56" s="81"/>
      <c r="B56" s="3" t="s">
        <v>342</v>
      </c>
      <c r="C56" s="3">
        <v>2</v>
      </c>
      <c r="D56" s="3">
        <v>2009</v>
      </c>
      <c r="E56" s="140">
        <v>28000</v>
      </c>
      <c r="F56" s="402" t="s">
        <v>642</v>
      </c>
      <c r="G56" s="140">
        <f t="shared" ca="1" si="4"/>
        <v>35117.241379310341</v>
      </c>
      <c r="H56" s="141">
        <f t="shared" ca="1" si="5"/>
        <v>70234.482758620681</v>
      </c>
    </row>
    <row r="57" spans="1:8" x14ac:dyDescent="0.25">
      <c r="A57" s="81"/>
      <c r="B57" s="3" t="s">
        <v>343</v>
      </c>
      <c r="C57" s="3">
        <v>2</v>
      </c>
      <c r="D57" s="3">
        <v>2009</v>
      </c>
      <c r="E57" s="140">
        <v>36000</v>
      </c>
      <c r="F57" s="402" t="s">
        <v>642</v>
      </c>
      <c r="G57" s="140">
        <f t="shared" ca="1" si="4"/>
        <v>45150.738916256159</v>
      </c>
      <c r="H57" s="141">
        <f t="shared" ca="1" si="5"/>
        <v>90301.477832512319</v>
      </c>
    </row>
    <row r="58" spans="1:8" x14ac:dyDescent="0.25">
      <c r="A58" s="395" t="s">
        <v>358</v>
      </c>
      <c r="B58" s="396"/>
      <c r="C58" s="396"/>
      <c r="D58" s="396"/>
      <c r="E58" s="396"/>
      <c r="F58" s="396"/>
      <c r="G58" s="396"/>
      <c r="H58" s="397"/>
    </row>
    <row r="59" spans="1:8" ht="15.75" thickBot="1" x14ac:dyDescent="0.3">
      <c r="A59" s="146"/>
      <c r="B59" s="136" t="s">
        <v>333</v>
      </c>
      <c r="C59" s="136"/>
      <c r="D59" s="136"/>
      <c r="E59" s="136"/>
      <c r="F59" s="136"/>
      <c r="G59" s="136"/>
      <c r="H59" s="301">
        <f ca="1">SUM(H48:H58)</f>
        <v>1585292.6108374384</v>
      </c>
    </row>
    <row r="60" spans="1:8" ht="16.5" thickBot="1" x14ac:dyDescent="0.3">
      <c r="A60" s="399" t="s">
        <v>344</v>
      </c>
      <c r="B60" s="400"/>
      <c r="C60" s="400"/>
      <c r="D60" s="400"/>
      <c r="E60" s="400"/>
      <c r="F60" s="400"/>
      <c r="G60" s="400"/>
      <c r="H60" s="401"/>
    </row>
    <row r="61" spans="1:8" x14ac:dyDescent="0.25">
      <c r="A61" s="143"/>
      <c r="B61" s="144" t="s">
        <v>350</v>
      </c>
      <c r="C61" s="144" t="s">
        <v>351</v>
      </c>
      <c r="D61" s="144" t="s">
        <v>352</v>
      </c>
      <c r="E61" s="144"/>
      <c r="F61" s="144"/>
      <c r="G61" s="144"/>
      <c r="H61" s="145" t="s">
        <v>331</v>
      </c>
    </row>
    <row r="62" spans="1:8" x14ac:dyDescent="0.25">
      <c r="A62" s="81"/>
      <c r="B62" s="3" t="s">
        <v>345</v>
      </c>
      <c r="C62" s="357">
        <v>0.9</v>
      </c>
      <c r="D62" s="3" t="s">
        <v>348</v>
      </c>
      <c r="E62" s="140"/>
      <c r="F62" s="140"/>
      <c r="G62" s="140"/>
      <c r="H62" s="141">
        <f ca="1">C62*H59</f>
        <v>1426763.3497536946</v>
      </c>
    </row>
    <row r="63" spans="1:8" x14ac:dyDescent="0.25">
      <c r="A63" s="81"/>
      <c r="B63" s="3" t="s">
        <v>346</v>
      </c>
      <c r="C63" s="357">
        <v>0.03</v>
      </c>
      <c r="D63" s="3" t="s">
        <v>72</v>
      </c>
      <c r="E63" s="140"/>
      <c r="F63" s="140"/>
      <c r="G63" s="140"/>
      <c r="H63" s="141">
        <f ca="1">C63*CAPEX!U53</f>
        <v>2097109.3553618167</v>
      </c>
    </row>
    <row r="64" spans="1:8" x14ac:dyDescent="0.25">
      <c r="A64" s="81"/>
      <c r="B64" s="3" t="s">
        <v>347</v>
      </c>
      <c r="C64" s="357">
        <v>0.01</v>
      </c>
      <c r="D64" s="3" t="s">
        <v>349</v>
      </c>
      <c r="E64" s="140"/>
      <c r="F64" s="140"/>
      <c r="G64" s="140"/>
      <c r="H64" s="141">
        <f ca="1">C64*CAPEX!U64</f>
        <v>1314188.5293600718</v>
      </c>
    </row>
    <row r="65" spans="1:11" x14ac:dyDescent="0.25">
      <c r="A65" s="395" t="s">
        <v>359</v>
      </c>
      <c r="B65" s="396"/>
      <c r="C65" s="396"/>
      <c r="D65" s="396"/>
      <c r="E65" s="396"/>
      <c r="F65" s="396"/>
      <c r="G65" s="396"/>
      <c r="H65" s="397"/>
    </row>
    <row r="66" spans="1:11" ht="15.75" thickBot="1" x14ac:dyDescent="0.3">
      <c r="A66" s="146"/>
      <c r="B66" s="136" t="s">
        <v>353</v>
      </c>
      <c r="C66" s="136"/>
      <c r="D66" s="136"/>
      <c r="E66" s="136"/>
      <c r="F66" s="136"/>
      <c r="G66" s="136"/>
      <c r="H66" s="301">
        <f ca="1">SUM(H62:H65)</f>
        <v>4838061.2344755828</v>
      </c>
    </row>
    <row r="67" spans="1:11" ht="16.5" thickBot="1" x14ac:dyDescent="0.3">
      <c r="A67" s="147"/>
      <c r="B67" s="139" t="s">
        <v>354</v>
      </c>
      <c r="C67" s="139"/>
      <c r="D67" s="139"/>
      <c r="E67" s="139"/>
      <c r="F67" s="139"/>
      <c r="G67" s="139"/>
      <c r="H67" s="359">
        <f ca="1">SUM(H59,H66)</f>
        <v>6423353.845313021</v>
      </c>
    </row>
    <row r="68" spans="1:11" ht="15.75" thickBot="1" x14ac:dyDescent="0.3"/>
    <row r="69" spans="1:11" ht="19.5" thickBot="1" x14ac:dyDescent="0.35">
      <c r="A69" s="148" t="s">
        <v>360</v>
      </c>
      <c r="B69" s="149"/>
      <c r="C69" s="149"/>
      <c r="D69" s="149"/>
      <c r="E69" s="149"/>
      <c r="F69" s="149"/>
      <c r="G69" s="149"/>
      <c r="H69" s="149"/>
      <c r="I69" s="149"/>
      <c r="J69" s="149"/>
      <c r="K69" s="361">
        <f ca="1">SUM(L43,H67)</f>
        <v>4224025.9132495187</v>
      </c>
    </row>
  </sheetData>
  <mergeCells count="5">
    <mergeCell ref="A1:D1"/>
    <mergeCell ref="G1:L1"/>
    <mergeCell ref="A8:L8"/>
    <mergeCell ref="A16:L16"/>
    <mergeCell ref="A45:H45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7">
    <tabColor theme="9" tint="0.59999389629810485"/>
  </sheetPr>
  <dimension ref="A1:AI83"/>
  <sheetViews>
    <sheetView showGridLines="0" zoomScale="70" zoomScaleNormal="70" workbookViewId="0">
      <selection activeCell="C30" sqref="C30"/>
    </sheetView>
  </sheetViews>
  <sheetFormatPr defaultRowHeight="15" x14ac:dyDescent="0.25"/>
  <cols>
    <col min="1" max="1" width="45.85546875" style="14" bestFit="1" customWidth="1"/>
    <col min="2" max="2" width="19.7109375" style="14" customWidth="1"/>
    <col min="3" max="3" width="25.7109375" style="14" customWidth="1"/>
    <col min="4" max="4" width="22.5703125" style="14" customWidth="1"/>
    <col min="5" max="5" width="27.5703125" style="14" customWidth="1"/>
    <col min="6" max="6" width="26.140625" style="14" customWidth="1"/>
    <col min="7" max="7" width="35.28515625" style="14" customWidth="1"/>
    <col min="8" max="8" width="14.85546875" style="14" bestFit="1" customWidth="1"/>
    <col min="9" max="9" width="25.42578125" style="14" customWidth="1"/>
    <col min="10" max="10" width="20.140625" style="14" bestFit="1" customWidth="1"/>
    <col min="11" max="12" width="17.85546875" style="14" bestFit="1" customWidth="1"/>
    <col min="13" max="13" width="20" style="14" customWidth="1"/>
    <col min="14" max="14" width="20.5703125" style="14" customWidth="1"/>
    <col min="15" max="24" width="16" style="14" bestFit="1" customWidth="1"/>
    <col min="25" max="25" width="17.42578125" style="14" bestFit="1" customWidth="1"/>
    <col min="26" max="34" width="16" style="14" bestFit="1" customWidth="1"/>
    <col min="35" max="35" width="17.140625" style="14" bestFit="1" customWidth="1"/>
    <col min="36" max="16384" width="9.140625" style="14"/>
  </cols>
  <sheetData>
    <row r="1" spans="1:15" ht="15.75" thickBo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ht="21.75" thickBot="1" x14ac:dyDescent="0.4">
      <c r="A2" s="629" t="s">
        <v>96</v>
      </c>
      <c r="B2" s="630"/>
      <c r="C2" s="630"/>
      <c r="D2" s="630"/>
      <c r="E2" s="631"/>
      <c r="F2" s="13"/>
      <c r="G2" s="632" t="s">
        <v>626</v>
      </c>
      <c r="H2" s="633"/>
      <c r="I2" s="633"/>
      <c r="J2" s="633"/>
      <c r="K2" s="633"/>
      <c r="L2" s="634"/>
      <c r="M2" s="13"/>
      <c r="N2" s="13"/>
    </row>
    <row r="3" spans="1:15" ht="15.75" thickBot="1" x14ac:dyDescent="0.3">
      <c r="A3" s="15" t="s">
        <v>54</v>
      </c>
      <c r="B3" s="15" t="s">
        <v>55</v>
      </c>
      <c r="C3" s="16"/>
      <c r="D3" s="15" t="s">
        <v>85</v>
      </c>
      <c r="E3" s="17"/>
      <c r="F3" s="13"/>
      <c r="G3" s="18" t="s">
        <v>82</v>
      </c>
      <c r="H3" s="19"/>
      <c r="I3" s="21"/>
      <c r="J3" s="18" t="s">
        <v>83</v>
      </c>
      <c r="K3" s="20" t="s">
        <v>84</v>
      </c>
      <c r="L3" s="20" t="s">
        <v>72</v>
      </c>
    </row>
    <row r="4" spans="1:15" ht="15" customHeight="1" x14ac:dyDescent="0.25">
      <c r="A4" s="22" t="s">
        <v>95</v>
      </c>
      <c r="B4" s="23">
        <f ca="1">FCI</f>
        <v>131418852.93600717</v>
      </c>
      <c r="C4" s="22"/>
      <c r="D4" s="22">
        <v>132</v>
      </c>
      <c r="E4" s="22" t="s">
        <v>97</v>
      </c>
      <c r="F4" s="13"/>
      <c r="G4" s="24" t="s">
        <v>86</v>
      </c>
      <c r="H4" s="25"/>
      <c r="I4" s="34"/>
      <c r="J4" s="341">
        <f ca="1">CAPEX!T13</f>
        <v>18975565.549526893</v>
      </c>
      <c r="K4" s="341">
        <f ca="1">CAPEX!U13</f>
        <v>39588190.560696356</v>
      </c>
      <c r="L4" s="26">
        <f ca="1">K4</f>
        <v>39588190.560696356</v>
      </c>
    </row>
    <row r="5" spans="1:15" x14ac:dyDescent="0.25">
      <c r="A5" s="22" t="s">
        <v>98</v>
      </c>
      <c r="B5" s="23">
        <f ca="1">FCI-B6</f>
        <v>131418852.93600717</v>
      </c>
      <c r="C5" s="22"/>
      <c r="D5" s="65">
        <v>14000</v>
      </c>
      <c r="E5" s="22" t="s">
        <v>73</v>
      </c>
      <c r="F5" s="13"/>
      <c r="G5" s="27" t="s">
        <v>87</v>
      </c>
      <c r="H5" s="22"/>
      <c r="I5" s="37"/>
      <c r="J5" s="342">
        <f ca="1">CAPEX!T28</f>
        <v>14976921.863657832</v>
      </c>
      <c r="K5" s="342">
        <f ca="1">CAPEX!U28</f>
        <v>22542288.574799128</v>
      </c>
      <c r="L5" s="28">
        <f t="shared" ref="L5:L7" ca="1" si="0">K5</f>
        <v>22542288.574799128</v>
      </c>
    </row>
    <row r="6" spans="1:15" x14ac:dyDescent="0.25">
      <c r="A6" s="387" t="s">
        <v>101</v>
      </c>
      <c r="B6" s="389">
        <v>0</v>
      </c>
      <c r="C6" s="22"/>
      <c r="D6" s="22"/>
      <c r="E6" s="29"/>
      <c r="F6" s="13"/>
      <c r="G6" s="27" t="s">
        <v>89</v>
      </c>
      <c r="H6" s="29"/>
      <c r="I6" s="57"/>
      <c r="J6" s="343">
        <f ca="1">CAPEX!T35</f>
        <v>3473059.0168108717</v>
      </c>
      <c r="K6" s="343">
        <f ca="1">CAPEX!U35</f>
        <v>4728195.1588063836</v>
      </c>
      <c r="L6" s="28">
        <f t="shared" ca="1" si="0"/>
        <v>4728195.1588063836</v>
      </c>
    </row>
    <row r="7" spans="1:15" ht="15.75" thickBot="1" x14ac:dyDescent="0.3">
      <c r="A7" s="22"/>
      <c r="B7" s="22"/>
      <c r="C7" s="22"/>
      <c r="D7" s="30"/>
      <c r="E7" s="22"/>
      <c r="F7" s="13"/>
      <c r="G7" s="27" t="s">
        <v>88</v>
      </c>
      <c r="H7" s="22"/>
      <c r="I7" s="37"/>
      <c r="J7" s="342">
        <f ca="1">CAPEX!T52</f>
        <v>1032193.5201441883</v>
      </c>
      <c r="K7" s="342">
        <f ca="1">CAPEX!U52</f>
        <v>3044970.8844253561</v>
      </c>
      <c r="L7" s="28">
        <f t="shared" ca="1" si="0"/>
        <v>3044970.8844253561</v>
      </c>
    </row>
    <row r="8" spans="1:15" ht="15.75" thickBot="1" x14ac:dyDescent="0.3">
      <c r="A8" s="22" t="s">
        <v>56</v>
      </c>
      <c r="B8" s="63">
        <v>0.4</v>
      </c>
      <c r="C8" s="22"/>
      <c r="D8" s="22"/>
      <c r="E8" s="22"/>
      <c r="F8" s="13"/>
      <c r="G8" s="18" t="s">
        <v>91</v>
      </c>
      <c r="H8" s="19"/>
      <c r="I8" s="21"/>
      <c r="J8" s="344">
        <f ca="1">SUM(J4:J7)</f>
        <v>38457739.950139783</v>
      </c>
      <c r="K8" s="32">
        <f ca="1">SUM(K4:K7)</f>
        <v>69903645.178727224</v>
      </c>
      <c r="L8" s="32">
        <f ca="1">SUM(L4:L7)</f>
        <v>69903645.178727224</v>
      </c>
    </row>
    <row r="9" spans="1:15" x14ac:dyDescent="0.25">
      <c r="A9" s="22" t="s">
        <v>99</v>
      </c>
      <c r="B9" s="63">
        <v>0.08</v>
      </c>
      <c r="C9" s="22"/>
      <c r="D9" s="30"/>
      <c r="E9" s="22"/>
      <c r="F9" s="13"/>
      <c r="G9" s="59" t="s">
        <v>376</v>
      </c>
      <c r="H9" s="60">
        <v>0.04</v>
      </c>
      <c r="I9" s="61" t="s">
        <v>58</v>
      </c>
      <c r="J9" s="56"/>
      <c r="K9" s="56"/>
      <c r="L9" s="345">
        <f ca="1">H9*ISBL</f>
        <v>2796145.8071490889</v>
      </c>
    </row>
    <row r="10" spans="1:15" x14ac:dyDescent="0.25">
      <c r="A10" s="22" t="s">
        <v>100</v>
      </c>
      <c r="B10" s="64">
        <v>10</v>
      </c>
      <c r="C10" s="22"/>
      <c r="D10" s="30"/>
      <c r="E10" s="22"/>
      <c r="F10" s="13"/>
      <c r="G10" s="62" t="s">
        <v>93</v>
      </c>
      <c r="H10" s="63">
        <v>0.09</v>
      </c>
      <c r="I10" s="64" t="s">
        <v>58</v>
      </c>
      <c r="J10" s="29"/>
      <c r="K10" s="29"/>
      <c r="L10" s="346">
        <f ca="1">H10*ISBL</f>
        <v>6291328.0660854504</v>
      </c>
    </row>
    <row r="11" spans="1:15" x14ac:dyDescent="0.25">
      <c r="A11" s="22" t="s">
        <v>102</v>
      </c>
      <c r="B11" s="23">
        <f ca="1">-PMT(B9,B10,FCI*(1-B8))</f>
        <v>11751170.674925575</v>
      </c>
      <c r="C11" s="22"/>
      <c r="D11" s="30"/>
      <c r="E11" s="22"/>
      <c r="F11" s="13"/>
      <c r="G11" s="62" t="s">
        <v>94</v>
      </c>
      <c r="H11" s="63">
        <v>4.4999999999999998E-2</v>
      </c>
      <c r="I11" s="64" t="s">
        <v>58</v>
      </c>
      <c r="J11" s="29"/>
      <c r="K11" s="29"/>
      <c r="L11" s="346">
        <f ca="1">H11*ISBL</f>
        <v>3145664.0330427252</v>
      </c>
    </row>
    <row r="12" spans="1:15" ht="15.75" thickBot="1" x14ac:dyDescent="0.3">
      <c r="A12" s="22"/>
      <c r="B12" s="22"/>
      <c r="C12" s="22"/>
      <c r="D12" s="30"/>
      <c r="E12" s="22"/>
      <c r="F12" s="13"/>
      <c r="G12" s="66" t="s">
        <v>90</v>
      </c>
      <c r="H12" s="67"/>
      <c r="I12" s="67"/>
      <c r="J12" s="58"/>
      <c r="K12" s="58"/>
      <c r="L12" s="68">
        <f ca="1">SUM(L8:L11)</f>
        <v>82136783.085004479</v>
      </c>
    </row>
    <row r="13" spans="1:15" x14ac:dyDescent="0.25">
      <c r="A13" s="22" t="s">
        <v>103</v>
      </c>
      <c r="B13" s="31">
        <v>0.05</v>
      </c>
      <c r="C13" s="22"/>
      <c r="D13" s="30"/>
      <c r="E13" s="22"/>
      <c r="F13" s="13"/>
      <c r="G13" s="59" t="s">
        <v>607</v>
      </c>
      <c r="H13" s="60">
        <v>0.1</v>
      </c>
      <c r="I13" s="61" t="s">
        <v>60</v>
      </c>
      <c r="J13" s="56"/>
      <c r="K13" s="56"/>
      <c r="L13" s="345">
        <f ca="1">L12*H13</f>
        <v>8213678.3085004482</v>
      </c>
    </row>
    <row r="14" spans="1:15" x14ac:dyDescent="0.25">
      <c r="A14" s="387" t="s">
        <v>104</v>
      </c>
      <c r="B14" s="387"/>
      <c r="C14" s="387"/>
      <c r="D14" s="22"/>
      <c r="E14" s="22"/>
      <c r="F14" s="13"/>
      <c r="G14" s="62" t="s">
        <v>380</v>
      </c>
      <c r="H14" s="63">
        <v>0.1</v>
      </c>
      <c r="I14" s="64" t="s">
        <v>60</v>
      </c>
      <c r="J14" s="29"/>
      <c r="K14" s="29"/>
      <c r="L14" s="346">
        <f ca="1">H14*L12</f>
        <v>8213678.3085004482</v>
      </c>
    </row>
    <row r="15" spans="1:15" x14ac:dyDescent="0.25">
      <c r="A15" s="387" t="s">
        <v>105</v>
      </c>
      <c r="B15" s="387">
        <v>0</v>
      </c>
      <c r="C15" s="387" t="s">
        <v>59</v>
      </c>
      <c r="D15" s="22"/>
      <c r="E15" s="22"/>
      <c r="F15" s="13"/>
      <c r="G15" s="62" t="s">
        <v>608</v>
      </c>
      <c r="H15" s="63">
        <v>0.2</v>
      </c>
      <c r="I15" s="64" t="s">
        <v>60</v>
      </c>
      <c r="J15" s="29"/>
      <c r="K15" s="29"/>
      <c r="L15" s="346">
        <f ca="1">H15*L12</f>
        <v>16427356.617000896</v>
      </c>
    </row>
    <row r="16" spans="1:15" x14ac:dyDescent="0.25">
      <c r="A16" s="387" t="s">
        <v>106</v>
      </c>
      <c r="B16" s="387">
        <v>0</v>
      </c>
      <c r="C16" s="387" t="s">
        <v>59</v>
      </c>
      <c r="D16" s="22"/>
      <c r="E16" s="22"/>
      <c r="F16" s="13"/>
      <c r="G16" s="62" t="s">
        <v>609</v>
      </c>
      <c r="H16" s="63">
        <v>0.1</v>
      </c>
      <c r="I16" s="64" t="s">
        <v>60</v>
      </c>
      <c r="J16" s="29"/>
      <c r="K16" s="29"/>
      <c r="L16" s="346">
        <f ca="1">H16*L12</f>
        <v>8213678.3085004482</v>
      </c>
    </row>
    <row r="17" spans="1:12" x14ac:dyDescent="0.25">
      <c r="A17" s="22" t="s">
        <v>108</v>
      </c>
      <c r="B17" s="22" t="s">
        <v>107</v>
      </c>
      <c r="C17" s="22"/>
      <c r="D17" s="22"/>
      <c r="E17" s="22"/>
      <c r="F17" s="13"/>
      <c r="G17" s="62" t="s">
        <v>610</v>
      </c>
      <c r="H17" s="63">
        <v>0.1</v>
      </c>
      <c r="I17" s="64" t="s">
        <v>60</v>
      </c>
      <c r="J17" s="29"/>
      <c r="K17" s="29"/>
      <c r="L17" s="346">
        <f ca="1">H17*L12</f>
        <v>8213678.3085004482</v>
      </c>
    </row>
    <row r="18" spans="1:12" ht="15.75" thickBot="1" x14ac:dyDescent="0.3">
      <c r="A18" s="22" t="s">
        <v>105</v>
      </c>
      <c r="B18" s="22">
        <v>7</v>
      </c>
      <c r="C18" s="22" t="s">
        <v>61</v>
      </c>
      <c r="D18" s="22"/>
      <c r="E18" s="22"/>
      <c r="F18" s="13"/>
      <c r="G18" s="66" t="s">
        <v>92</v>
      </c>
      <c r="H18" s="67"/>
      <c r="I18" s="67"/>
      <c r="J18" s="58"/>
      <c r="K18" s="58"/>
      <c r="L18" s="68">
        <f ca="1">SUM(L13:L17)</f>
        <v>49282069.851002686</v>
      </c>
    </row>
    <row r="19" spans="1:12" ht="15.75" thickBot="1" x14ac:dyDescent="0.3">
      <c r="A19" s="22" t="s">
        <v>109</v>
      </c>
      <c r="B19" s="22">
        <v>20</v>
      </c>
      <c r="C19" s="22" t="s">
        <v>61</v>
      </c>
      <c r="D19" s="22"/>
      <c r="E19" s="22"/>
      <c r="F19" s="13"/>
      <c r="G19" s="69" t="s">
        <v>95</v>
      </c>
      <c r="H19" s="70"/>
      <c r="I19" s="70"/>
      <c r="J19" s="347"/>
      <c r="K19" s="347"/>
      <c r="L19" s="71">
        <f ca="1">L12+L18</f>
        <v>131418852.93600717</v>
      </c>
    </row>
    <row r="20" spans="1:12" x14ac:dyDescent="0.25">
      <c r="A20" s="22" t="s">
        <v>110</v>
      </c>
      <c r="B20" s="22">
        <v>3</v>
      </c>
      <c r="C20" s="22"/>
      <c r="D20" s="24"/>
      <c r="E20" s="34"/>
      <c r="F20" s="13"/>
      <c r="G20" s="59" t="s">
        <v>65</v>
      </c>
      <c r="H20" s="61"/>
      <c r="I20" s="61"/>
      <c r="J20" s="56"/>
      <c r="K20" s="56"/>
      <c r="L20" s="345">
        <f>D4*D5</f>
        <v>1848000</v>
      </c>
    </row>
    <row r="21" spans="1:12" ht="15.75" thickBot="1" x14ac:dyDescent="0.3">
      <c r="A21" s="22" t="s">
        <v>111</v>
      </c>
      <c r="B21" s="31">
        <v>0.08</v>
      </c>
      <c r="C21" s="22"/>
      <c r="D21" s="27"/>
      <c r="E21" s="37"/>
      <c r="F21" s="13"/>
      <c r="G21" s="72" t="s">
        <v>127</v>
      </c>
      <c r="H21" s="74">
        <v>0.05</v>
      </c>
      <c r="I21" s="73" t="s">
        <v>62</v>
      </c>
      <c r="J21" s="58"/>
      <c r="K21" s="58"/>
      <c r="L21" s="348">
        <f ca="1">H21*L19</f>
        <v>6570942.6468003588</v>
      </c>
    </row>
    <row r="22" spans="1:12" ht="15.75" thickBot="1" x14ac:dyDescent="0.3">
      <c r="A22" s="22" t="s">
        <v>112</v>
      </c>
      <c r="B22" s="31">
        <v>0.6</v>
      </c>
      <c r="C22" s="22"/>
      <c r="D22" s="27"/>
      <c r="E22" s="37"/>
      <c r="F22" s="13"/>
      <c r="G22" s="69" t="s">
        <v>71</v>
      </c>
      <c r="H22" s="70"/>
      <c r="I22" s="70"/>
      <c r="J22" s="347"/>
      <c r="K22" s="347"/>
      <c r="L22" s="71">
        <f ca="1">SUM(L19:L21)</f>
        <v>139837795.58280754</v>
      </c>
    </row>
    <row r="23" spans="1:12" x14ac:dyDescent="0.25">
      <c r="A23" s="22" t="s">
        <v>113</v>
      </c>
      <c r="B23" s="31">
        <f>1-SUM(B21:B22)</f>
        <v>0.32000000000000006</v>
      </c>
      <c r="C23" s="22"/>
      <c r="D23" s="27"/>
      <c r="E23" s="37"/>
      <c r="F23" s="13"/>
      <c r="G23" s="13"/>
    </row>
    <row r="24" spans="1:12" ht="15.75" thickBot="1" x14ac:dyDescent="0.3">
      <c r="A24" s="22"/>
      <c r="B24" s="22"/>
      <c r="C24" s="22"/>
      <c r="D24" s="27"/>
      <c r="E24" s="37"/>
      <c r="F24" s="13"/>
      <c r="G24" s="13"/>
    </row>
    <row r="25" spans="1:12" ht="21.75" thickBot="1" x14ac:dyDescent="0.4">
      <c r="A25" s="22" t="s">
        <v>114</v>
      </c>
      <c r="B25" s="22">
        <v>0.5</v>
      </c>
      <c r="C25" s="22"/>
      <c r="D25" s="35" t="s">
        <v>74</v>
      </c>
      <c r="E25" s="38"/>
      <c r="F25" s="13"/>
      <c r="G25" s="635" t="s">
        <v>627</v>
      </c>
      <c r="H25" s="636"/>
      <c r="I25" s="394" t="str">
        <f>"Annual cost, " &amp; COSTYEAR &amp; "$"</f>
        <v>Annual cost, 2019$</v>
      </c>
    </row>
    <row r="26" spans="1:12" x14ac:dyDescent="0.25">
      <c r="A26" s="22" t="s">
        <v>115</v>
      </c>
      <c r="B26" s="31">
        <v>0.5</v>
      </c>
      <c r="C26" s="22"/>
      <c r="D26" s="39">
        <v>2.5</v>
      </c>
      <c r="E26" s="118" t="s">
        <v>75</v>
      </c>
      <c r="F26" s="13"/>
      <c r="G26" s="379" t="s">
        <v>628</v>
      </c>
      <c r="H26" s="56"/>
      <c r="I26" s="55"/>
    </row>
    <row r="27" spans="1:12" x14ac:dyDescent="0.25">
      <c r="A27" s="22" t="s">
        <v>116</v>
      </c>
      <c r="B27" s="31">
        <v>0.75</v>
      </c>
      <c r="C27" s="22"/>
      <c r="D27" s="113"/>
      <c r="E27" s="114"/>
      <c r="F27" s="13"/>
      <c r="G27" s="27" t="s">
        <v>310</v>
      </c>
      <c r="H27" s="29"/>
      <c r="I27" s="375">
        <f ca="1">OPEX!L23</f>
        <v>3480568.5232914761</v>
      </c>
    </row>
    <row r="28" spans="1:12" x14ac:dyDescent="0.25">
      <c r="A28" s="22" t="s">
        <v>117</v>
      </c>
      <c r="B28" s="31">
        <v>1</v>
      </c>
      <c r="C28" s="22"/>
      <c r="D28" s="35" t="s">
        <v>76</v>
      </c>
      <c r="E28" s="38"/>
      <c r="F28" s="13"/>
      <c r="G28" s="27" t="s">
        <v>629</v>
      </c>
      <c r="H28" s="29"/>
      <c r="I28" s="375">
        <f ca="1">OPEX!L27</f>
        <v>0</v>
      </c>
    </row>
    <row r="29" spans="1:12" x14ac:dyDescent="0.25">
      <c r="A29" s="22" t="s">
        <v>118</v>
      </c>
      <c r="B29" s="63">
        <v>0.1</v>
      </c>
      <c r="C29" s="22" t="s">
        <v>63</v>
      </c>
      <c r="D29" s="115">
        <v>0</v>
      </c>
      <c r="E29" s="118" t="s">
        <v>794</v>
      </c>
      <c r="F29" s="13"/>
      <c r="G29" s="376" t="s">
        <v>315</v>
      </c>
      <c r="H29" s="29"/>
      <c r="I29" s="375">
        <f ca="1">OPEX!L34</f>
        <v>488450.60713015532</v>
      </c>
    </row>
    <row r="30" spans="1:12" ht="15.75" thickBot="1" x14ac:dyDescent="0.3">
      <c r="A30" s="22" t="s">
        <v>119</v>
      </c>
      <c r="B30" s="63">
        <v>0.35</v>
      </c>
      <c r="C30" s="22"/>
      <c r="D30" s="116">
        <f>FEEDPRICE*FEEDAFDW*(2.205/2000)*OPHOURS/1000000</f>
        <v>0</v>
      </c>
      <c r="E30" s="117" t="s">
        <v>77</v>
      </c>
      <c r="F30" s="13"/>
      <c r="G30" s="377" t="s">
        <v>632</v>
      </c>
      <c r="H30" s="384"/>
      <c r="I30" s="385">
        <f ca="1">SUM(I27:I29)</f>
        <v>3969019.1304216315</v>
      </c>
    </row>
    <row r="31" spans="1:12" ht="15.75" thickBot="1" x14ac:dyDescent="0.3">
      <c r="A31" s="22"/>
      <c r="B31" s="64"/>
      <c r="C31" s="22"/>
      <c r="D31" s="27"/>
      <c r="E31" s="37"/>
      <c r="F31" s="13"/>
      <c r="G31" s="381" t="s">
        <v>636</v>
      </c>
      <c r="H31" s="383"/>
      <c r="I31" s="382">
        <f ca="1">OPEX!L42</f>
        <v>-6168347.0624851333</v>
      </c>
      <c r="J31" s="373"/>
      <c r="K31" s="373"/>
      <c r="L31" s="373"/>
    </row>
    <row r="32" spans="1:12" x14ac:dyDescent="0.25">
      <c r="A32" s="29"/>
      <c r="B32" s="64"/>
      <c r="C32" s="29"/>
      <c r="D32" s="27"/>
      <c r="E32" s="37"/>
      <c r="F32" s="13"/>
      <c r="G32" s="380" t="s">
        <v>630</v>
      </c>
      <c r="H32" s="56"/>
      <c r="I32" s="374"/>
    </row>
    <row r="33" spans="1:35" x14ac:dyDescent="0.25">
      <c r="A33" s="22" t="s">
        <v>120</v>
      </c>
      <c r="B33" s="75">
        <f>FUELGGE</f>
        <v>14.564105885892682</v>
      </c>
      <c r="C33" s="22" t="s">
        <v>78</v>
      </c>
      <c r="D33" s="27"/>
      <c r="E33" s="37"/>
      <c r="F33" s="13"/>
      <c r="G33" s="376" t="s">
        <v>631</v>
      </c>
      <c r="H33" s="29"/>
      <c r="I33" s="375">
        <f ca="1">OPEX!H59</f>
        <v>1585292.6108374384</v>
      </c>
    </row>
    <row r="34" spans="1:35" ht="15.75" thickBot="1" x14ac:dyDescent="0.3">
      <c r="A34" s="22" t="s">
        <v>121</v>
      </c>
      <c r="B34" s="64">
        <v>2019</v>
      </c>
      <c r="C34" s="22"/>
      <c r="D34" s="27"/>
      <c r="E34" s="37"/>
      <c r="F34" s="13"/>
      <c r="G34" s="376" t="s">
        <v>344</v>
      </c>
      <c r="H34" s="29"/>
      <c r="I34" s="375">
        <f ca="1">OPEX!H66</f>
        <v>4838061.2344755828</v>
      </c>
    </row>
    <row r="35" spans="1:35" ht="15.75" thickBot="1" x14ac:dyDescent="0.3">
      <c r="A35" s="111" t="s">
        <v>122</v>
      </c>
      <c r="B35" s="112">
        <v>1.6136580039536073</v>
      </c>
      <c r="C35" s="36" t="s">
        <v>123</v>
      </c>
      <c r="D35" s="40"/>
      <c r="E35" s="41"/>
      <c r="F35" s="13"/>
      <c r="G35" s="377" t="s">
        <v>633</v>
      </c>
      <c r="H35" s="58"/>
      <c r="I35" s="378">
        <f ca="1">SUM(I33:I34)</f>
        <v>6423353.845313021</v>
      </c>
      <c r="J35" s="373"/>
      <c r="K35" s="373"/>
      <c r="L35" s="373"/>
    </row>
    <row r="36" spans="1:35" ht="15.75" thickBot="1" x14ac:dyDescent="0.3">
      <c r="A36" s="111" t="s">
        <v>773</v>
      </c>
      <c r="B36" s="112">
        <f>MFSP/3.785</f>
        <v>0.42632972363371391</v>
      </c>
      <c r="C36" s="36"/>
      <c r="D36" s="22"/>
      <c r="E36" s="22"/>
      <c r="F36" s="13"/>
      <c r="G36" s="380" t="s">
        <v>634</v>
      </c>
      <c r="H36" s="56"/>
      <c r="I36" s="386">
        <f ca="1">SUM(I30,I35)</f>
        <v>10392372.975734653</v>
      </c>
      <c r="J36" s="373"/>
      <c r="K36" s="373"/>
      <c r="L36" s="373"/>
    </row>
    <row r="37" spans="1:35" ht="15.75" thickBot="1" x14ac:dyDescent="0.3">
      <c r="A37" s="36" t="s">
        <v>124</v>
      </c>
      <c r="B37" s="42">
        <f ca="1">E71</f>
        <v>0</v>
      </c>
      <c r="C37" s="36" t="s">
        <v>125</v>
      </c>
      <c r="D37" s="22"/>
      <c r="E37" s="22"/>
      <c r="F37" s="13"/>
      <c r="G37" s="377" t="s">
        <v>635</v>
      </c>
      <c r="H37" s="58"/>
      <c r="I37" s="378">
        <f ca="1">I36+I31</f>
        <v>4224025.9132495197</v>
      </c>
      <c r="J37" s="13"/>
      <c r="K37" s="13"/>
      <c r="L37" s="13"/>
      <c r="M37" s="13"/>
      <c r="N37" s="13"/>
    </row>
    <row r="38" spans="1:35" ht="15.75" thickBot="1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35" ht="21.75" thickBot="1" x14ac:dyDescent="0.4">
      <c r="A39" s="244" t="s">
        <v>675</v>
      </c>
      <c r="B39" s="245"/>
      <c r="C39" s="245"/>
      <c r="D39" s="245"/>
      <c r="E39" s="245"/>
      <c r="F39" s="246"/>
      <c r="G39" s="246"/>
      <c r="H39" s="246"/>
      <c r="I39" s="246"/>
      <c r="J39" s="246"/>
      <c r="K39" s="246"/>
      <c r="L39" s="246"/>
      <c r="M39" s="246"/>
      <c r="N39" s="246"/>
      <c r="O39" s="246"/>
      <c r="P39" s="246"/>
      <c r="Q39" s="246"/>
      <c r="R39" s="246"/>
      <c r="S39" s="246"/>
      <c r="T39" s="246"/>
      <c r="U39" s="246"/>
      <c r="V39" s="246"/>
      <c r="W39" s="246"/>
      <c r="X39" s="246"/>
      <c r="Y39" s="246"/>
      <c r="Z39" s="246"/>
      <c r="AA39" s="246"/>
      <c r="AB39" s="246"/>
      <c r="AC39" s="246"/>
      <c r="AD39" s="246"/>
      <c r="AE39" s="246"/>
      <c r="AF39" s="246"/>
      <c r="AG39" s="246"/>
      <c r="AH39" s="246"/>
      <c r="AI39" s="247"/>
    </row>
    <row r="40" spans="1:35" x14ac:dyDescent="0.25">
      <c r="A40" s="248" t="s">
        <v>64</v>
      </c>
      <c r="B40" s="248"/>
      <c r="C40" s="248">
        <v>-2</v>
      </c>
      <c r="D40" s="248">
        <v>-1</v>
      </c>
      <c r="E40" s="248">
        <v>0</v>
      </c>
      <c r="F40" s="248">
        <v>1</v>
      </c>
      <c r="G40" s="248">
        <v>2</v>
      </c>
      <c r="H40" s="248">
        <v>3</v>
      </c>
      <c r="I40" s="248">
        <v>4</v>
      </c>
      <c r="J40" s="248">
        <v>5</v>
      </c>
      <c r="K40" s="248">
        <v>6</v>
      </c>
      <c r="L40" s="248">
        <v>7</v>
      </c>
      <c r="M40" s="248">
        <v>8</v>
      </c>
      <c r="N40" s="248">
        <v>9</v>
      </c>
      <c r="O40" s="248">
        <v>10</v>
      </c>
      <c r="P40" s="248">
        <v>11</v>
      </c>
      <c r="Q40" s="248">
        <v>12</v>
      </c>
      <c r="R40" s="248">
        <v>13</v>
      </c>
      <c r="S40" s="248">
        <v>14</v>
      </c>
      <c r="T40" s="248">
        <v>15</v>
      </c>
      <c r="U40" s="248">
        <v>16</v>
      </c>
      <c r="V40" s="248">
        <v>17</v>
      </c>
      <c r="W40" s="248">
        <v>18</v>
      </c>
      <c r="X40" s="248">
        <v>19</v>
      </c>
      <c r="Y40" s="248">
        <v>20</v>
      </c>
      <c r="Z40" s="248">
        <v>21</v>
      </c>
      <c r="AA40" s="248">
        <v>22</v>
      </c>
      <c r="AB40" s="248">
        <v>23</v>
      </c>
      <c r="AC40" s="248">
        <v>24</v>
      </c>
      <c r="AD40" s="248">
        <v>25</v>
      </c>
      <c r="AE40" s="248">
        <v>26</v>
      </c>
      <c r="AF40" s="248">
        <v>27</v>
      </c>
      <c r="AG40" s="248">
        <v>28</v>
      </c>
      <c r="AH40" s="248">
        <v>29</v>
      </c>
      <c r="AI40" s="248">
        <v>30</v>
      </c>
    </row>
    <row r="41" spans="1:35" x14ac:dyDescent="0.25">
      <c r="A41" s="43" t="s">
        <v>126</v>
      </c>
      <c r="B41" s="44"/>
      <c r="C41" s="44">
        <f ca="1">FCI*B21*B8</f>
        <v>4205403.2939522294</v>
      </c>
      <c r="D41" s="44">
        <f ca="1">FCI*B22*B8</f>
        <v>31540524.704641718</v>
      </c>
      <c r="E41" s="44">
        <f ca="1">FCI*B23*B8</f>
        <v>16821613.175808921</v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</row>
    <row r="42" spans="1:35" x14ac:dyDescent="0.25">
      <c r="A42" s="22" t="s">
        <v>65</v>
      </c>
      <c r="B42" s="23"/>
      <c r="C42" s="23">
        <f>LANDCOST</f>
        <v>1848000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>
        <f>-C42</f>
        <v>-1848000</v>
      </c>
    </row>
    <row r="43" spans="1:35" x14ac:dyDescent="0.25">
      <c r="A43" s="45" t="s">
        <v>127</v>
      </c>
      <c r="B43" s="46" t="s">
        <v>66</v>
      </c>
      <c r="C43" s="46"/>
      <c r="D43" s="46"/>
      <c r="E43" s="46">
        <f ca="1">B13*B4</f>
        <v>6570942.6468003588</v>
      </c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>
        <f ca="1">-E43</f>
        <v>-6570942.6468003588</v>
      </c>
    </row>
    <row r="44" spans="1:35" x14ac:dyDescent="0.25">
      <c r="A44" s="43" t="s">
        <v>128</v>
      </c>
      <c r="B44" s="44"/>
      <c r="C44" s="44"/>
      <c r="D44" s="44"/>
      <c r="E44" s="44"/>
      <c r="F44" s="44">
        <f ca="1">B11</f>
        <v>11751170.674925575</v>
      </c>
      <c r="G44" s="44">
        <f ca="1">IF($B$10&gt;1,$B$11,0)</f>
        <v>11751170.674925575</v>
      </c>
      <c r="H44" s="44">
        <f ca="1">IF($B$10&gt;2,$B$11,0)</f>
        <v>11751170.674925575</v>
      </c>
      <c r="I44" s="44">
        <f ca="1">IF($B$10&gt;3,$B$11,0)</f>
        <v>11751170.674925575</v>
      </c>
      <c r="J44" s="44">
        <f ca="1">IF($B$10&gt;4,$B$11,0)</f>
        <v>11751170.674925575</v>
      </c>
      <c r="K44" s="44">
        <f ca="1">IF($B$10&gt;5,$B$11,0)</f>
        <v>11751170.674925575</v>
      </c>
      <c r="L44" s="44">
        <f ca="1">IF($B$10&gt;6,$B$11,0)</f>
        <v>11751170.674925575</v>
      </c>
      <c r="M44" s="44">
        <f ca="1">IF($B$10&gt;7,$B$11,0)</f>
        <v>11751170.674925575</v>
      </c>
      <c r="N44" s="44">
        <f ca="1">IF($B$10&gt;8,$B$11,0)</f>
        <v>11751170.674925575</v>
      </c>
      <c r="O44" s="44">
        <f ca="1">IF($B$10&gt;9,$B$11,0)</f>
        <v>11751170.674925575</v>
      </c>
      <c r="P44" s="44">
        <f>IF($B$10&gt;10,$B$11,0)</f>
        <v>0</v>
      </c>
      <c r="Q44" s="44">
        <f>IF($B$10&gt;11,$B$11,0)</f>
        <v>0</v>
      </c>
      <c r="R44" s="44">
        <f>IF($B$10&gt;12,$B$11,0)</f>
        <v>0</v>
      </c>
      <c r="S44" s="44">
        <f>IF($B$10&gt;13,$B$11,0)</f>
        <v>0</v>
      </c>
      <c r="T44" s="44">
        <f>IF($B$10&gt;14,$B$11,0)</f>
        <v>0</v>
      </c>
      <c r="U44" s="44">
        <f>IF($B$10&gt;15,$B$11,0)</f>
        <v>0</v>
      </c>
      <c r="V44" s="44">
        <f>IF($B$10&gt;16,$B$11,0)</f>
        <v>0</v>
      </c>
      <c r="W44" s="44">
        <f>IF($B$10&gt;17,$B$11,0)</f>
        <v>0</v>
      </c>
      <c r="X44" s="44">
        <f t="shared" ref="X44:AH44" si="1">IF($B$10&gt;18,$B$11,0)</f>
        <v>0</v>
      </c>
      <c r="Y44" s="44">
        <f t="shared" si="1"/>
        <v>0</v>
      </c>
      <c r="Z44" s="44">
        <f t="shared" si="1"/>
        <v>0</v>
      </c>
      <c r="AA44" s="44">
        <f t="shared" si="1"/>
        <v>0</v>
      </c>
      <c r="AB44" s="44">
        <f t="shared" si="1"/>
        <v>0</v>
      </c>
      <c r="AC44" s="44">
        <f t="shared" si="1"/>
        <v>0</v>
      </c>
      <c r="AD44" s="44">
        <f t="shared" si="1"/>
        <v>0</v>
      </c>
      <c r="AE44" s="44">
        <f t="shared" si="1"/>
        <v>0</v>
      </c>
      <c r="AF44" s="44">
        <f t="shared" si="1"/>
        <v>0</v>
      </c>
      <c r="AG44" s="44">
        <f t="shared" si="1"/>
        <v>0</v>
      </c>
      <c r="AH44" s="44">
        <f t="shared" si="1"/>
        <v>0</v>
      </c>
      <c r="AI44" s="44">
        <f>IF($B$10&gt;19,$B$11,0)</f>
        <v>0</v>
      </c>
    </row>
    <row r="45" spans="1:35" x14ac:dyDescent="0.25">
      <c r="A45" s="22" t="s">
        <v>129</v>
      </c>
      <c r="B45" s="23"/>
      <c r="C45" s="23">
        <f ca="1">$B$9*C46</f>
        <v>504648.39527426753</v>
      </c>
      <c r="D45" s="23">
        <f ca="1">$B$9*D46</f>
        <v>4289511.3598312736</v>
      </c>
      <c r="E45" s="23">
        <f ca="1">$B$9*E46</f>
        <v>6308104.9409283437</v>
      </c>
      <c r="F45" s="23">
        <f ca="1">B4*(1-B8)*B9</f>
        <v>6308104.9409283437</v>
      </c>
      <c r="G45" s="23">
        <f t="shared" ref="G45:AH45" ca="1" si="2">$B$9*F46</f>
        <v>5872659.682208566</v>
      </c>
      <c r="H45" s="23">
        <f t="shared" ca="1" si="2"/>
        <v>5402378.8027912043</v>
      </c>
      <c r="I45" s="23">
        <f t="shared" ca="1" si="2"/>
        <v>4894475.4530204544</v>
      </c>
      <c r="J45" s="23">
        <f t="shared" ca="1" si="2"/>
        <v>4345939.8352680448</v>
      </c>
      <c r="K45" s="23">
        <f t="shared" ca="1" si="2"/>
        <v>3753521.3680954427</v>
      </c>
      <c r="L45" s="23">
        <f t="shared" ca="1" si="2"/>
        <v>3113709.4235490323</v>
      </c>
      <c r="M45" s="23">
        <f t="shared" ca="1" si="2"/>
        <v>2422712.5234389091</v>
      </c>
      <c r="N45" s="23">
        <f t="shared" ca="1" si="2"/>
        <v>1676435.8713199759</v>
      </c>
      <c r="O45" s="23">
        <f t="shared" ca="1" si="2"/>
        <v>870457.08703152789</v>
      </c>
      <c r="P45" s="23">
        <f t="shared" ca="1" si="2"/>
        <v>4.135072231292725E-9</v>
      </c>
      <c r="Q45" s="23">
        <f t="shared" ca="1" si="2"/>
        <v>4.4658780097961429E-9</v>
      </c>
      <c r="R45" s="23">
        <f t="shared" ca="1" si="2"/>
        <v>4.8231482505798334E-9</v>
      </c>
      <c r="S45" s="23">
        <f t="shared" ca="1" si="2"/>
        <v>5.20900011062622E-9</v>
      </c>
      <c r="T45" s="23">
        <f t="shared" ca="1" si="2"/>
        <v>5.6257201194763177E-9</v>
      </c>
      <c r="U45" s="23">
        <f t="shared" ca="1" si="2"/>
        <v>6.0757777290344237E-9</v>
      </c>
      <c r="V45" s="23">
        <f t="shared" ca="1" si="2"/>
        <v>6.5618399473571775E-9</v>
      </c>
      <c r="W45" s="23">
        <f t="shared" ca="1" si="2"/>
        <v>7.0867871431457507E-9</v>
      </c>
      <c r="X45" s="23">
        <f t="shared" ca="1" si="2"/>
        <v>7.6537301145974104E-9</v>
      </c>
      <c r="Y45" s="23">
        <f t="shared" ca="1" si="2"/>
        <v>8.2660285237652036E-9</v>
      </c>
      <c r="Z45" s="23">
        <f t="shared" ca="1" si="2"/>
        <v>8.9273108056664197E-9</v>
      </c>
      <c r="AA45" s="23">
        <f t="shared" ca="1" si="2"/>
        <v>9.6414956701197342E-9</v>
      </c>
      <c r="AB45" s="23">
        <f t="shared" ca="1" si="2"/>
        <v>1.0412815323729313E-8</v>
      </c>
      <c r="AC45" s="23">
        <f t="shared" ca="1" si="2"/>
        <v>1.1245840549627658E-8</v>
      </c>
      <c r="AD45" s="23">
        <f t="shared" ca="1" si="2"/>
        <v>1.2145507793597871E-8</v>
      </c>
      <c r="AE45" s="23">
        <f t="shared" ca="1" si="2"/>
        <v>1.31171484170857E-8</v>
      </c>
      <c r="AF45" s="23">
        <f t="shared" ca="1" si="2"/>
        <v>1.4166520290452555E-8</v>
      </c>
      <c r="AG45" s="23">
        <f t="shared" ca="1" si="2"/>
        <v>1.5299841913688759E-8</v>
      </c>
      <c r="AH45" s="23">
        <f t="shared" ca="1" si="2"/>
        <v>1.6523829266783861E-8</v>
      </c>
      <c r="AI45" s="23">
        <f ca="1">$B$9*X46</f>
        <v>8.2660285237652036E-9</v>
      </c>
    </row>
    <row r="46" spans="1:35" x14ac:dyDescent="0.25">
      <c r="A46" s="45" t="s">
        <v>130</v>
      </c>
      <c r="B46" s="46"/>
      <c r="C46" s="46">
        <f ca="1">FCI*(1-B8)*B21</f>
        <v>6308104.9409283437</v>
      </c>
      <c r="D46" s="46">
        <f ca="1">FCI*(1-B8)*B22+C46</f>
        <v>53618891.997890919</v>
      </c>
      <c r="E46" s="46">
        <f ca="1">FCI*(1-B8)*B23+D46</f>
        <v>78851311.761604294</v>
      </c>
      <c r="F46" s="46">
        <f ca="1">FCI*(1-B8)-F44+F45</f>
        <v>73408246.027607068</v>
      </c>
      <c r="G46" s="46">
        <f t="shared" ref="G46:AH46" ca="1" si="3">F46-G44+G45</f>
        <v>67529735.034890056</v>
      </c>
      <c r="H46" s="46">
        <f t="shared" ca="1" si="3"/>
        <v>61180943.162755683</v>
      </c>
      <c r="I46" s="46">
        <f t="shared" ca="1" si="3"/>
        <v>54324247.940850563</v>
      </c>
      <c r="J46" s="46">
        <f t="shared" ca="1" si="3"/>
        <v>46919017.101193033</v>
      </c>
      <c r="K46" s="46">
        <f t="shared" ca="1" si="3"/>
        <v>38921367.794362903</v>
      </c>
      <c r="L46" s="46">
        <f t="shared" ca="1" si="3"/>
        <v>30283906.542986363</v>
      </c>
      <c r="M46" s="46">
        <f t="shared" ca="1" si="3"/>
        <v>20955448.391499698</v>
      </c>
      <c r="N46" s="46">
        <f t="shared" ca="1" si="3"/>
        <v>10880713.587894099</v>
      </c>
      <c r="O46" s="46">
        <f t="shared" ca="1" si="3"/>
        <v>5.1688402891159058E-8</v>
      </c>
      <c r="P46" s="46">
        <f t="shared" ca="1" si="3"/>
        <v>5.582347512245178E-8</v>
      </c>
      <c r="Q46" s="46">
        <f t="shared" ca="1" si="3"/>
        <v>6.0289353132247917E-8</v>
      </c>
      <c r="R46" s="46">
        <f t="shared" ca="1" si="3"/>
        <v>6.5112501382827749E-8</v>
      </c>
      <c r="S46" s="46">
        <f t="shared" ca="1" si="3"/>
        <v>7.0321501493453975E-8</v>
      </c>
      <c r="T46" s="46">
        <f t="shared" ca="1" si="3"/>
        <v>7.5947221612930292E-8</v>
      </c>
      <c r="U46" s="46">
        <f t="shared" ca="1" si="3"/>
        <v>8.2022999341964713E-8</v>
      </c>
      <c r="V46" s="46">
        <f t="shared" ca="1" si="3"/>
        <v>8.8584839289321885E-8</v>
      </c>
      <c r="W46" s="46">
        <f t="shared" ca="1" si="3"/>
        <v>9.5671626432467631E-8</v>
      </c>
      <c r="X46" s="46">
        <f t="shared" ca="1" si="3"/>
        <v>1.0332535654706504E-7</v>
      </c>
      <c r="Y46" s="46">
        <f t="shared" ca="1" si="3"/>
        <v>1.1159138507083025E-7</v>
      </c>
      <c r="Z46" s="46">
        <f t="shared" ca="1" si="3"/>
        <v>1.2051869587649667E-7</v>
      </c>
      <c r="AA46" s="46">
        <f t="shared" ca="1" si="3"/>
        <v>1.3016019154661641E-7</v>
      </c>
      <c r="AB46" s="46">
        <f t="shared" ca="1" si="3"/>
        <v>1.4057300687034572E-7</v>
      </c>
      <c r="AC46" s="46">
        <f t="shared" ca="1" si="3"/>
        <v>1.5181884741997338E-7</v>
      </c>
      <c r="AD46" s="46">
        <f t="shared" ca="1" si="3"/>
        <v>1.6396435521357125E-7</v>
      </c>
      <c r="AE46" s="46">
        <f t="shared" ca="1" si="3"/>
        <v>1.7708150363065695E-7</v>
      </c>
      <c r="AF46" s="46">
        <f t="shared" ca="1" si="3"/>
        <v>1.912480239211095E-7</v>
      </c>
      <c r="AG46" s="46">
        <f t="shared" ca="1" si="3"/>
        <v>2.0654786583479826E-7</v>
      </c>
      <c r="AH46" s="46">
        <f t="shared" ca="1" si="3"/>
        <v>2.2307169510158213E-7</v>
      </c>
      <c r="AI46" s="46">
        <f ca="1">X46-AI44+AI45</f>
        <v>1.1159138507083025E-7</v>
      </c>
    </row>
    <row r="47" spans="1:35" x14ac:dyDescent="0.25">
      <c r="A47" s="43" t="s">
        <v>131</v>
      </c>
      <c r="B47" s="44"/>
      <c r="C47" s="44"/>
      <c r="D47" s="44"/>
      <c r="E47" s="44"/>
      <c r="F47" s="44">
        <f>(FUELPROD*MFSP*1000000)*(1-STARTUP)+(FUELPROD*MFSP*1000000)*STARTUP*STARTFUEL</f>
        <v>17626114.524898928</v>
      </c>
      <c r="G47" s="44">
        <f>FUELPROD*MFSP*1000000</f>
        <v>23501486.033198569</v>
      </c>
      <c r="H47" s="44">
        <f>$B$33*$B$35*1000000</f>
        <v>23501486.033198569</v>
      </c>
      <c r="I47" s="44">
        <f t="shared" ref="I47:AI47" si="4">$B$33*$B$35*1000000</f>
        <v>23501486.033198569</v>
      </c>
      <c r="J47" s="44">
        <f t="shared" si="4"/>
        <v>23501486.033198569</v>
      </c>
      <c r="K47" s="44">
        <f t="shared" si="4"/>
        <v>23501486.033198569</v>
      </c>
      <c r="L47" s="44">
        <f t="shared" si="4"/>
        <v>23501486.033198569</v>
      </c>
      <c r="M47" s="44">
        <f t="shared" si="4"/>
        <v>23501486.033198569</v>
      </c>
      <c r="N47" s="44">
        <f t="shared" si="4"/>
        <v>23501486.033198569</v>
      </c>
      <c r="O47" s="44">
        <f t="shared" si="4"/>
        <v>23501486.033198569</v>
      </c>
      <c r="P47" s="44">
        <f t="shared" si="4"/>
        <v>23501486.033198569</v>
      </c>
      <c r="Q47" s="44">
        <f t="shared" si="4"/>
        <v>23501486.033198569</v>
      </c>
      <c r="R47" s="44">
        <f t="shared" si="4"/>
        <v>23501486.033198569</v>
      </c>
      <c r="S47" s="44">
        <f t="shared" si="4"/>
        <v>23501486.033198569</v>
      </c>
      <c r="T47" s="44">
        <f t="shared" si="4"/>
        <v>23501486.033198569</v>
      </c>
      <c r="U47" s="44">
        <f t="shared" si="4"/>
        <v>23501486.033198569</v>
      </c>
      <c r="V47" s="44">
        <f t="shared" si="4"/>
        <v>23501486.033198569</v>
      </c>
      <c r="W47" s="44">
        <f t="shared" si="4"/>
        <v>23501486.033198569</v>
      </c>
      <c r="X47" s="44">
        <f t="shared" si="4"/>
        <v>23501486.033198569</v>
      </c>
      <c r="Y47" s="44">
        <f t="shared" si="4"/>
        <v>23501486.033198569</v>
      </c>
      <c r="Z47" s="44">
        <f t="shared" si="4"/>
        <v>23501486.033198569</v>
      </c>
      <c r="AA47" s="44">
        <f t="shared" si="4"/>
        <v>23501486.033198569</v>
      </c>
      <c r="AB47" s="44">
        <f t="shared" si="4"/>
        <v>23501486.033198569</v>
      </c>
      <c r="AC47" s="44">
        <f t="shared" si="4"/>
        <v>23501486.033198569</v>
      </c>
      <c r="AD47" s="44">
        <f t="shared" si="4"/>
        <v>23501486.033198569</v>
      </c>
      <c r="AE47" s="44">
        <f t="shared" si="4"/>
        <v>23501486.033198569</v>
      </c>
      <c r="AF47" s="44">
        <f t="shared" si="4"/>
        <v>23501486.033198569</v>
      </c>
      <c r="AG47" s="44">
        <f t="shared" si="4"/>
        <v>23501486.033198569</v>
      </c>
      <c r="AH47" s="44">
        <f t="shared" si="4"/>
        <v>23501486.033198569</v>
      </c>
      <c r="AI47" s="44">
        <f t="shared" si="4"/>
        <v>23501486.033198569</v>
      </c>
    </row>
    <row r="48" spans="1:35" x14ac:dyDescent="0.25">
      <c r="A48" s="22" t="s">
        <v>132</v>
      </c>
      <c r="B48" s="23"/>
      <c r="C48" s="23"/>
      <c r="D48" s="47"/>
      <c r="E48" s="23"/>
      <c r="F48" s="23">
        <f ca="1">-$I$31*(1-STARTUP)+$I$31*STARTUP*STARTFUEL</f>
        <v>1542086.7656212833</v>
      </c>
      <c r="G48" s="23">
        <f ca="1">-$I$31</f>
        <v>6168347.0624851333</v>
      </c>
      <c r="H48" s="23">
        <f ca="1">G48</f>
        <v>6168347.0624851333</v>
      </c>
      <c r="I48" s="23">
        <f t="shared" ref="I48:AI48" ca="1" si="5">H48</f>
        <v>6168347.0624851333</v>
      </c>
      <c r="J48" s="23">
        <f t="shared" ca="1" si="5"/>
        <v>6168347.0624851333</v>
      </c>
      <c r="K48" s="23">
        <f t="shared" ca="1" si="5"/>
        <v>6168347.0624851333</v>
      </c>
      <c r="L48" s="23">
        <f t="shared" ca="1" si="5"/>
        <v>6168347.0624851333</v>
      </c>
      <c r="M48" s="23">
        <f t="shared" ca="1" si="5"/>
        <v>6168347.0624851333</v>
      </c>
      <c r="N48" s="23">
        <f t="shared" ca="1" si="5"/>
        <v>6168347.0624851333</v>
      </c>
      <c r="O48" s="23">
        <f t="shared" ca="1" si="5"/>
        <v>6168347.0624851333</v>
      </c>
      <c r="P48" s="23">
        <f t="shared" ca="1" si="5"/>
        <v>6168347.0624851333</v>
      </c>
      <c r="Q48" s="23">
        <f t="shared" ca="1" si="5"/>
        <v>6168347.0624851333</v>
      </c>
      <c r="R48" s="23">
        <f t="shared" ca="1" si="5"/>
        <v>6168347.0624851333</v>
      </c>
      <c r="S48" s="23">
        <f t="shared" ca="1" si="5"/>
        <v>6168347.0624851333</v>
      </c>
      <c r="T48" s="23">
        <f t="shared" ca="1" si="5"/>
        <v>6168347.0624851333</v>
      </c>
      <c r="U48" s="23">
        <f t="shared" ca="1" si="5"/>
        <v>6168347.0624851333</v>
      </c>
      <c r="V48" s="23">
        <f t="shared" ca="1" si="5"/>
        <v>6168347.0624851333</v>
      </c>
      <c r="W48" s="23">
        <f t="shared" ca="1" si="5"/>
        <v>6168347.0624851333</v>
      </c>
      <c r="X48" s="23">
        <f t="shared" ca="1" si="5"/>
        <v>6168347.0624851333</v>
      </c>
      <c r="Y48" s="23">
        <f t="shared" ca="1" si="5"/>
        <v>6168347.0624851333</v>
      </c>
      <c r="Z48" s="23">
        <f t="shared" ca="1" si="5"/>
        <v>6168347.0624851333</v>
      </c>
      <c r="AA48" s="23">
        <f t="shared" ca="1" si="5"/>
        <v>6168347.0624851333</v>
      </c>
      <c r="AB48" s="23">
        <f t="shared" ca="1" si="5"/>
        <v>6168347.0624851333</v>
      </c>
      <c r="AC48" s="23">
        <f t="shared" ca="1" si="5"/>
        <v>6168347.0624851333</v>
      </c>
      <c r="AD48" s="23">
        <f t="shared" ca="1" si="5"/>
        <v>6168347.0624851333</v>
      </c>
      <c r="AE48" s="23">
        <f t="shared" ca="1" si="5"/>
        <v>6168347.0624851333</v>
      </c>
      <c r="AF48" s="23">
        <f t="shared" ca="1" si="5"/>
        <v>6168347.0624851333</v>
      </c>
      <c r="AG48" s="23">
        <f t="shared" ca="1" si="5"/>
        <v>6168347.0624851333</v>
      </c>
      <c r="AH48" s="23">
        <f t="shared" ca="1" si="5"/>
        <v>6168347.0624851333</v>
      </c>
      <c r="AI48" s="23">
        <f t="shared" ca="1" si="5"/>
        <v>6168347.0624851333</v>
      </c>
    </row>
    <row r="49" spans="1:35" x14ac:dyDescent="0.25">
      <c r="A49" s="45" t="s">
        <v>133</v>
      </c>
      <c r="B49" s="46"/>
      <c r="C49" s="46"/>
      <c r="D49" s="48"/>
      <c r="E49" s="46"/>
      <c r="F49" s="46">
        <f t="shared" ref="F49:AI49" ca="1" si="6">F47+F48</f>
        <v>19168201.29052021</v>
      </c>
      <c r="G49" s="46">
        <f t="shared" ca="1" si="6"/>
        <v>29669833.095683701</v>
      </c>
      <c r="H49" s="46">
        <f t="shared" ca="1" si="6"/>
        <v>29669833.095683701</v>
      </c>
      <c r="I49" s="46">
        <f t="shared" ca="1" si="6"/>
        <v>29669833.095683701</v>
      </c>
      <c r="J49" s="46">
        <f t="shared" ca="1" si="6"/>
        <v>29669833.095683701</v>
      </c>
      <c r="K49" s="46">
        <f t="shared" ca="1" si="6"/>
        <v>29669833.095683701</v>
      </c>
      <c r="L49" s="46">
        <f t="shared" ca="1" si="6"/>
        <v>29669833.095683701</v>
      </c>
      <c r="M49" s="46">
        <f t="shared" ca="1" si="6"/>
        <v>29669833.095683701</v>
      </c>
      <c r="N49" s="46">
        <f t="shared" ca="1" si="6"/>
        <v>29669833.095683701</v>
      </c>
      <c r="O49" s="46">
        <f t="shared" ca="1" si="6"/>
        <v>29669833.095683701</v>
      </c>
      <c r="P49" s="46">
        <f t="shared" ca="1" si="6"/>
        <v>29669833.095683701</v>
      </c>
      <c r="Q49" s="46">
        <f t="shared" ca="1" si="6"/>
        <v>29669833.095683701</v>
      </c>
      <c r="R49" s="46">
        <f t="shared" ca="1" si="6"/>
        <v>29669833.095683701</v>
      </c>
      <c r="S49" s="46">
        <f t="shared" ca="1" si="6"/>
        <v>29669833.095683701</v>
      </c>
      <c r="T49" s="46">
        <f t="shared" ca="1" si="6"/>
        <v>29669833.095683701</v>
      </c>
      <c r="U49" s="46">
        <f t="shared" ca="1" si="6"/>
        <v>29669833.095683701</v>
      </c>
      <c r="V49" s="46">
        <f t="shared" ca="1" si="6"/>
        <v>29669833.095683701</v>
      </c>
      <c r="W49" s="46">
        <f t="shared" ca="1" si="6"/>
        <v>29669833.095683701</v>
      </c>
      <c r="X49" s="46">
        <f t="shared" ca="1" si="6"/>
        <v>29669833.095683701</v>
      </c>
      <c r="Y49" s="46">
        <f t="shared" ca="1" si="6"/>
        <v>29669833.095683701</v>
      </c>
      <c r="Z49" s="46">
        <f t="shared" ca="1" si="6"/>
        <v>29669833.095683701</v>
      </c>
      <c r="AA49" s="46">
        <f t="shared" ca="1" si="6"/>
        <v>29669833.095683701</v>
      </c>
      <c r="AB49" s="46">
        <f t="shared" ca="1" si="6"/>
        <v>29669833.095683701</v>
      </c>
      <c r="AC49" s="46">
        <f t="shared" ca="1" si="6"/>
        <v>29669833.095683701</v>
      </c>
      <c r="AD49" s="46">
        <f t="shared" ca="1" si="6"/>
        <v>29669833.095683701</v>
      </c>
      <c r="AE49" s="46">
        <f t="shared" ca="1" si="6"/>
        <v>29669833.095683701</v>
      </c>
      <c r="AF49" s="46">
        <f t="shared" ca="1" si="6"/>
        <v>29669833.095683701</v>
      </c>
      <c r="AG49" s="46">
        <f t="shared" ca="1" si="6"/>
        <v>29669833.095683701</v>
      </c>
      <c r="AH49" s="46">
        <f t="shared" ca="1" si="6"/>
        <v>29669833.095683701</v>
      </c>
      <c r="AI49" s="46">
        <f t="shared" ca="1" si="6"/>
        <v>29669833.095683701</v>
      </c>
    </row>
    <row r="50" spans="1:35" x14ac:dyDescent="0.25">
      <c r="A50" s="43" t="s">
        <v>134</v>
      </c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</row>
    <row r="51" spans="1:35" x14ac:dyDescent="0.25">
      <c r="A51" s="22" t="s">
        <v>67</v>
      </c>
      <c r="B51" s="23"/>
      <c r="C51" s="23"/>
      <c r="D51" s="23"/>
      <c r="E51" s="23"/>
      <c r="F51" s="23">
        <f>($D$30*1000000)*(1-STARTUP)+($D$30*1000000)*(STARTUP)*STARTFUEL</f>
        <v>0</v>
      </c>
      <c r="G51" s="23">
        <f>$D$30*1000000</f>
        <v>0</v>
      </c>
      <c r="H51" s="23">
        <f t="shared" ref="H51:AI51" si="7">$D$30*1000000</f>
        <v>0</v>
      </c>
      <c r="I51" s="23">
        <f t="shared" si="7"/>
        <v>0</v>
      </c>
      <c r="J51" s="23">
        <f t="shared" si="7"/>
        <v>0</v>
      </c>
      <c r="K51" s="23">
        <f t="shared" si="7"/>
        <v>0</v>
      </c>
      <c r="L51" s="23">
        <f t="shared" si="7"/>
        <v>0</v>
      </c>
      <c r="M51" s="23">
        <f t="shared" si="7"/>
        <v>0</v>
      </c>
      <c r="N51" s="23">
        <f t="shared" si="7"/>
        <v>0</v>
      </c>
      <c r="O51" s="23">
        <f t="shared" si="7"/>
        <v>0</v>
      </c>
      <c r="P51" s="23">
        <f t="shared" si="7"/>
        <v>0</v>
      </c>
      <c r="Q51" s="23">
        <f t="shared" si="7"/>
        <v>0</v>
      </c>
      <c r="R51" s="23">
        <f t="shared" si="7"/>
        <v>0</v>
      </c>
      <c r="S51" s="23">
        <f t="shared" si="7"/>
        <v>0</v>
      </c>
      <c r="T51" s="23">
        <f t="shared" si="7"/>
        <v>0</v>
      </c>
      <c r="U51" s="23">
        <f t="shared" si="7"/>
        <v>0</v>
      </c>
      <c r="V51" s="23">
        <f t="shared" si="7"/>
        <v>0</v>
      </c>
      <c r="W51" s="23">
        <f t="shared" si="7"/>
        <v>0</v>
      </c>
      <c r="X51" s="23">
        <f t="shared" si="7"/>
        <v>0</v>
      </c>
      <c r="Y51" s="23">
        <f t="shared" si="7"/>
        <v>0</v>
      </c>
      <c r="Z51" s="23">
        <f t="shared" si="7"/>
        <v>0</v>
      </c>
      <c r="AA51" s="23">
        <f t="shared" si="7"/>
        <v>0</v>
      </c>
      <c r="AB51" s="23">
        <f t="shared" si="7"/>
        <v>0</v>
      </c>
      <c r="AC51" s="23">
        <f t="shared" si="7"/>
        <v>0</v>
      </c>
      <c r="AD51" s="23">
        <f t="shared" si="7"/>
        <v>0</v>
      </c>
      <c r="AE51" s="23">
        <f t="shared" si="7"/>
        <v>0</v>
      </c>
      <c r="AF51" s="23">
        <f t="shared" si="7"/>
        <v>0</v>
      </c>
      <c r="AG51" s="23">
        <f t="shared" si="7"/>
        <v>0</v>
      </c>
      <c r="AH51" s="23">
        <f t="shared" si="7"/>
        <v>0</v>
      </c>
      <c r="AI51" s="23">
        <f t="shared" si="7"/>
        <v>0</v>
      </c>
    </row>
    <row r="52" spans="1:35" x14ac:dyDescent="0.25">
      <c r="A52" s="22" t="s">
        <v>135</v>
      </c>
      <c r="B52" s="23"/>
      <c r="C52" s="23"/>
      <c r="D52" s="23"/>
      <c r="E52" s="23"/>
      <c r="F52" s="23">
        <v>0</v>
      </c>
      <c r="G52" s="23">
        <v>0</v>
      </c>
      <c r="H52" s="23">
        <v>0</v>
      </c>
      <c r="I52" s="23">
        <v>0</v>
      </c>
      <c r="J52" s="23">
        <v>0</v>
      </c>
      <c r="K52" s="23">
        <v>0</v>
      </c>
      <c r="L52" s="23">
        <v>0</v>
      </c>
      <c r="M52" s="23">
        <v>0</v>
      </c>
      <c r="N52" s="23">
        <v>0</v>
      </c>
      <c r="O52" s="23">
        <v>0</v>
      </c>
      <c r="P52" s="23">
        <v>0</v>
      </c>
      <c r="Q52" s="23">
        <v>0</v>
      </c>
      <c r="R52" s="23">
        <v>0</v>
      </c>
      <c r="S52" s="23">
        <v>0</v>
      </c>
      <c r="T52" s="23">
        <v>0</v>
      </c>
      <c r="U52" s="23">
        <v>0</v>
      </c>
      <c r="V52" s="23">
        <v>0</v>
      </c>
      <c r="W52" s="23">
        <v>0</v>
      </c>
      <c r="X52" s="23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0</v>
      </c>
      <c r="AG52" s="23">
        <v>0</v>
      </c>
      <c r="AH52" s="23">
        <v>0</v>
      </c>
      <c r="AI52" s="23">
        <v>0</v>
      </c>
    </row>
    <row r="53" spans="1:35" x14ac:dyDescent="0.25">
      <c r="A53" s="22" t="s">
        <v>136</v>
      </c>
      <c r="B53" s="23"/>
      <c r="C53" s="23"/>
      <c r="D53" s="23"/>
      <c r="E53" s="23"/>
      <c r="F53" s="23">
        <f ca="1">$I$30*(1-STARTUP)+$I$30*STARTUP*STARTVAROPEX</f>
        <v>3472891.7391189276</v>
      </c>
      <c r="G53" s="23">
        <f ca="1">$I$30</f>
        <v>3969019.1304216315</v>
      </c>
      <c r="H53" s="23">
        <f ca="1">G53</f>
        <v>3969019.1304216315</v>
      </c>
      <c r="I53" s="23">
        <f t="shared" ref="I53:AI53" ca="1" si="8">H53</f>
        <v>3969019.1304216315</v>
      </c>
      <c r="J53" s="23">
        <f t="shared" ca="1" si="8"/>
        <v>3969019.1304216315</v>
      </c>
      <c r="K53" s="23">
        <f t="shared" ca="1" si="8"/>
        <v>3969019.1304216315</v>
      </c>
      <c r="L53" s="23">
        <f t="shared" ca="1" si="8"/>
        <v>3969019.1304216315</v>
      </c>
      <c r="M53" s="23">
        <f t="shared" ca="1" si="8"/>
        <v>3969019.1304216315</v>
      </c>
      <c r="N53" s="23">
        <f t="shared" ca="1" si="8"/>
        <v>3969019.1304216315</v>
      </c>
      <c r="O53" s="23">
        <f t="shared" ca="1" si="8"/>
        <v>3969019.1304216315</v>
      </c>
      <c r="P53" s="23">
        <f t="shared" ca="1" si="8"/>
        <v>3969019.1304216315</v>
      </c>
      <c r="Q53" s="23">
        <f t="shared" ca="1" si="8"/>
        <v>3969019.1304216315</v>
      </c>
      <c r="R53" s="23">
        <f t="shared" ca="1" si="8"/>
        <v>3969019.1304216315</v>
      </c>
      <c r="S53" s="23">
        <f t="shared" ca="1" si="8"/>
        <v>3969019.1304216315</v>
      </c>
      <c r="T53" s="23">
        <f t="shared" ca="1" si="8"/>
        <v>3969019.1304216315</v>
      </c>
      <c r="U53" s="23">
        <f t="shared" ca="1" si="8"/>
        <v>3969019.1304216315</v>
      </c>
      <c r="V53" s="23">
        <f t="shared" ca="1" si="8"/>
        <v>3969019.1304216315</v>
      </c>
      <c r="W53" s="23">
        <f t="shared" ca="1" si="8"/>
        <v>3969019.1304216315</v>
      </c>
      <c r="X53" s="23">
        <f t="shared" ca="1" si="8"/>
        <v>3969019.1304216315</v>
      </c>
      <c r="Y53" s="23">
        <f t="shared" ca="1" si="8"/>
        <v>3969019.1304216315</v>
      </c>
      <c r="Z53" s="23">
        <f t="shared" ca="1" si="8"/>
        <v>3969019.1304216315</v>
      </c>
      <c r="AA53" s="23">
        <f t="shared" ca="1" si="8"/>
        <v>3969019.1304216315</v>
      </c>
      <c r="AB53" s="23">
        <f t="shared" ca="1" si="8"/>
        <v>3969019.1304216315</v>
      </c>
      <c r="AC53" s="23">
        <f t="shared" ca="1" si="8"/>
        <v>3969019.1304216315</v>
      </c>
      <c r="AD53" s="23">
        <f t="shared" ca="1" si="8"/>
        <v>3969019.1304216315</v>
      </c>
      <c r="AE53" s="23">
        <f t="shared" ca="1" si="8"/>
        <v>3969019.1304216315</v>
      </c>
      <c r="AF53" s="23">
        <f t="shared" ca="1" si="8"/>
        <v>3969019.1304216315</v>
      </c>
      <c r="AG53" s="23">
        <f t="shared" ca="1" si="8"/>
        <v>3969019.1304216315</v>
      </c>
      <c r="AH53" s="23">
        <f t="shared" ca="1" si="8"/>
        <v>3969019.1304216315</v>
      </c>
      <c r="AI53" s="23">
        <f t="shared" ca="1" si="8"/>
        <v>3969019.1304216315</v>
      </c>
    </row>
    <row r="54" spans="1:35" x14ac:dyDescent="0.25">
      <c r="A54" s="22" t="s">
        <v>137</v>
      </c>
      <c r="B54" s="23"/>
      <c r="C54" s="23"/>
      <c r="D54" s="23"/>
      <c r="E54" s="23"/>
      <c r="F54" s="23">
        <f ca="1">$I$35*(1-STARTUP)+$I$35*STARTUP*STARTFIXEDOPEX</f>
        <v>6423353.845313021</v>
      </c>
      <c r="G54" s="23">
        <f ca="1">$I$35</f>
        <v>6423353.845313021</v>
      </c>
      <c r="H54" s="23">
        <f ca="1">G54</f>
        <v>6423353.845313021</v>
      </c>
      <c r="I54" s="23">
        <f t="shared" ref="I54:AI54" ca="1" si="9">H54</f>
        <v>6423353.845313021</v>
      </c>
      <c r="J54" s="23">
        <f t="shared" ca="1" si="9"/>
        <v>6423353.845313021</v>
      </c>
      <c r="K54" s="23">
        <f t="shared" ca="1" si="9"/>
        <v>6423353.845313021</v>
      </c>
      <c r="L54" s="23">
        <f t="shared" ca="1" si="9"/>
        <v>6423353.845313021</v>
      </c>
      <c r="M54" s="23">
        <f t="shared" ca="1" si="9"/>
        <v>6423353.845313021</v>
      </c>
      <c r="N54" s="23">
        <f t="shared" ca="1" si="9"/>
        <v>6423353.845313021</v>
      </c>
      <c r="O54" s="23">
        <f t="shared" ca="1" si="9"/>
        <v>6423353.845313021</v>
      </c>
      <c r="P54" s="23">
        <f t="shared" ca="1" si="9"/>
        <v>6423353.845313021</v>
      </c>
      <c r="Q54" s="23">
        <f t="shared" ca="1" si="9"/>
        <v>6423353.845313021</v>
      </c>
      <c r="R54" s="23">
        <f t="shared" ca="1" si="9"/>
        <v>6423353.845313021</v>
      </c>
      <c r="S54" s="23">
        <f t="shared" ca="1" si="9"/>
        <v>6423353.845313021</v>
      </c>
      <c r="T54" s="23">
        <f t="shared" ca="1" si="9"/>
        <v>6423353.845313021</v>
      </c>
      <c r="U54" s="23">
        <f t="shared" ca="1" si="9"/>
        <v>6423353.845313021</v>
      </c>
      <c r="V54" s="23">
        <f t="shared" ca="1" si="9"/>
        <v>6423353.845313021</v>
      </c>
      <c r="W54" s="23">
        <f t="shared" ca="1" si="9"/>
        <v>6423353.845313021</v>
      </c>
      <c r="X54" s="23">
        <f t="shared" ca="1" si="9"/>
        <v>6423353.845313021</v>
      </c>
      <c r="Y54" s="23">
        <f t="shared" ca="1" si="9"/>
        <v>6423353.845313021</v>
      </c>
      <c r="Z54" s="23">
        <f t="shared" ca="1" si="9"/>
        <v>6423353.845313021</v>
      </c>
      <c r="AA54" s="23">
        <f t="shared" ca="1" si="9"/>
        <v>6423353.845313021</v>
      </c>
      <c r="AB54" s="23">
        <f t="shared" ca="1" si="9"/>
        <v>6423353.845313021</v>
      </c>
      <c r="AC54" s="23">
        <f t="shared" ca="1" si="9"/>
        <v>6423353.845313021</v>
      </c>
      <c r="AD54" s="23">
        <f t="shared" ca="1" si="9"/>
        <v>6423353.845313021</v>
      </c>
      <c r="AE54" s="23">
        <f t="shared" ca="1" si="9"/>
        <v>6423353.845313021</v>
      </c>
      <c r="AF54" s="23">
        <f t="shared" ca="1" si="9"/>
        <v>6423353.845313021</v>
      </c>
      <c r="AG54" s="23">
        <f t="shared" ca="1" si="9"/>
        <v>6423353.845313021</v>
      </c>
      <c r="AH54" s="23">
        <f t="shared" ca="1" si="9"/>
        <v>6423353.845313021</v>
      </c>
      <c r="AI54" s="23">
        <f t="shared" ca="1" si="9"/>
        <v>6423353.845313021</v>
      </c>
    </row>
    <row r="55" spans="1:35" x14ac:dyDescent="0.25">
      <c r="A55" s="45" t="s">
        <v>138</v>
      </c>
      <c r="B55" s="46"/>
      <c r="C55" s="46"/>
      <c r="D55" s="46"/>
      <c r="E55" s="46"/>
      <c r="F55" s="46">
        <f t="shared" ref="F55:AI55" ca="1" si="10">SUM(F51:F54)</f>
        <v>9896245.5844319481</v>
      </c>
      <c r="G55" s="46">
        <f t="shared" ca="1" si="10"/>
        <v>10392372.975734653</v>
      </c>
      <c r="H55" s="46">
        <f t="shared" ca="1" si="10"/>
        <v>10392372.975734653</v>
      </c>
      <c r="I55" s="46">
        <f t="shared" ca="1" si="10"/>
        <v>10392372.975734653</v>
      </c>
      <c r="J55" s="46">
        <f t="shared" ca="1" si="10"/>
        <v>10392372.975734653</v>
      </c>
      <c r="K55" s="46">
        <f t="shared" ca="1" si="10"/>
        <v>10392372.975734653</v>
      </c>
      <c r="L55" s="46">
        <f t="shared" ca="1" si="10"/>
        <v>10392372.975734653</v>
      </c>
      <c r="M55" s="46">
        <f t="shared" ca="1" si="10"/>
        <v>10392372.975734653</v>
      </c>
      <c r="N55" s="46">
        <f t="shared" ca="1" si="10"/>
        <v>10392372.975734653</v>
      </c>
      <c r="O55" s="46">
        <f t="shared" ca="1" si="10"/>
        <v>10392372.975734653</v>
      </c>
      <c r="P55" s="46">
        <f t="shared" ca="1" si="10"/>
        <v>10392372.975734653</v>
      </c>
      <c r="Q55" s="46">
        <f t="shared" ca="1" si="10"/>
        <v>10392372.975734653</v>
      </c>
      <c r="R55" s="46">
        <f t="shared" ca="1" si="10"/>
        <v>10392372.975734653</v>
      </c>
      <c r="S55" s="46">
        <f t="shared" ca="1" si="10"/>
        <v>10392372.975734653</v>
      </c>
      <c r="T55" s="46">
        <f t="shared" ca="1" si="10"/>
        <v>10392372.975734653</v>
      </c>
      <c r="U55" s="46">
        <f t="shared" ca="1" si="10"/>
        <v>10392372.975734653</v>
      </c>
      <c r="V55" s="46">
        <f t="shared" ca="1" si="10"/>
        <v>10392372.975734653</v>
      </c>
      <c r="W55" s="46">
        <f t="shared" ca="1" si="10"/>
        <v>10392372.975734653</v>
      </c>
      <c r="X55" s="46">
        <f t="shared" ca="1" si="10"/>
        <v>10392372.975734653</v>
      </c>
      <c r="Y55" s="46">
        <f t="shared" ca="1" si="10"/>
        <v>10392372.975734653</v>
      </c>
      <c r="Z55" s="46">
        <f t="shared" ca="1" si="10"/>
        <v>10392372.975734653</v>
      </c>
      <c r="AA55" s="46">
        <f t="shared" ca="1" si="10"/>
        <v>10392372.975734653</v>
      </c>
      <c r="AB55" s="46">
        <f t="shared" ca="1" si="10"/>
        <v>10392372.975734653</v>
      </c>
      <c r="AC55" s="46">
        <f t="shared" ca="1" si="10"/>
        <v>10392372.975734653</v>
      </c>
      <c r="AD55" s="46">
        <f t="shared" ca="1" si="10"/>
        <v>10392372.975734653</v>
      </c>
      <c r="AE55" s="46">
        <f t="shared" ca="1" si="10"/>
        <v>10392372.975734653</v>
      </c>
      <c r="AF55" s="46">
        <f t="shared" ca="1" si="10"/>
        <v>10392372.975734653</v>
      </c>
      <c r="AG55" s="46">
        <f t="shared" ca="1" si="10"/>
        <v>10392372.975734653</v>
      </c>
      <c r="AH55" s="46">
        <f t="shared" ca="1" si="10"/>
        <v>10392372.975734653</v>
      </c>
      <c r="AI55" s="46">
        <f t="shared" ca="1" si="10"/>
        <v>10392372.975734653</v>
      </c>
    </row>
    <row r="56" spans="1:35" x14ac:dyDescent="0.25">
      <c r="A56" s="43" t="s">
        <v>139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</row>
    <row r="57" spans="1:35" x14ac:dyDescent="0.25">
      <c r="A57" s="22" t="s">
        <v>140</v>
      </c>
      <c r="B57" s="22"/>
      <c r="C57" s="22"/>
      <c r="D57" s="22"/>
      <c r="E57" s="22"/>
      <c r="F57" s="33">
        <v>0.1429</v>
      </c>
      <c r="G57" s="33">
        <v>0.24490000000000001</v>
      </c>
      <c r="H57" s="33">
        <v>0.1749</v>
      </c>
      <c r="I57" s="33">
        <v>0.1249</v>
      </c>
      <c r="J57" s="33">
        <v>8.9300000000000004E-2</v>
      </c>
      <c r="K57" s="33">
        <v>8.9200000000000002E-2</v>
      </c>
      <c r="L57" s="33">
        <v>8.9300000000000004E-2</v>
      </c>
      <c r="M57" s="33">
        <v>4.4600000000000001E-2</v>
      </c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</row>
    <row r="58" spans="1:35" x14ac:dyDescent="0.25">
      <c r="A58" s="22" t="s">
        <v>141</v>
      </c>
      <c r="B58" s="22"/>
      <c r="C58" s="22"/>
      <c r="D58" s="22"/>
      <c r="E58" s="22"/>
      <c r="F58" s="49">
        <f t="shared" ref="F58:M58" ca="1" si="11">$B$5*F57</f>
        <v>18779754.084555425</v>
      </c>
      <c r="G58" s="49">
        <f t="shared" ca="1" si="11"/>
        <v>32184477.084028158</v>
      </c>
      <c r="H58" s="49">
        <f t="shared" ca="1" si="11"/>
        <v>22985157.378507655</v>
      </c>
      <c r="I58" s="49">
        <f t="shared" ca="1" si="11"/>
        <v>16414214.731707295</v>
      </c>
      <c r="J58" s="49">
        <f t="shared" ca="1" si="11"/>
        <v>11735703.567185441</v>
      </c>
      <c r="K58" s="49">
        <f t="shared" ca="1" si="11"/>
        <v>11722561.68189184</v>
      </c>
      <c r="L58" s="49">
        <f t="shared" ca="1" si="11"/>
        <v>11735703.567185441</v>
      </c>
      <c r="M58" s="49">
        <f t="shared" ca="1" si="11"/>
        <v>5861280.84094592</v>
      </c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</row>
    <row r="59" spans="1:35" x14ac:dyDescent="0.25">
      <c r="A59" s="22" t="s">
        <v>142</v>
      </c>
      <c r="B59" s="22"/>
      <c r="C59" s="22"/>
      <c r="D59" s="22"/>
      <c r="E59" s="22"/>
      <c r="F59" s="49">
        <f ca="1">$B$5-$B$15-F58</f>
        <v>112639098.85145175</v>
      </c>
      <c r="G59" s="50">
        <f t="shared" ref="G59:M59" ca="1" si="12">F59-G58</f>
        <v>80454621.7674236</v>
      </c>
      <c r="H59" s="50">
        <f t="shared" ca="1" si="12"/>
        <v>57469464.388915941</v>
      </c>
      <c r="I59" s="50">
        <f t="shared" ca="1" si="12"/>
        <v>41055249.657208644</v>
      </c>
      <c r="J59" s="50">
        <f t="shared" ca="1" si="12"/>
        <v>29319546.090023205</v>
      </c>
      <c r="K59" s="50">
        <f t="shared" ca="1" si="12"/>
        <v>17596984.408131365</v>
      </c>
      <c r="L59" s="50">
        <f t="shared" ca="1" si="12"/>
        <v>5861280.8409459237</v>
      </c>
      <c r="M59" s="50">
        <f t="shared" ca="1" si="12"/>
        <v>0</v>
      </c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</row>
    <row r="60" spans="1:35" x14ac:dyDescent="0.25">
      <c r="A60" s="387" t="s">
        <v>143</v>
      </c>
      <c r="B60" s="387"/>
      <c r="C60" s="387"/>
      <c r="D60" s="387"/>
      <c r="E60" s="387"/>
      <c r="F60" s="388">
        <v>3.7499999999999999E-2</v>
      </c>
      <c r="G60" s="388">
        <v>7.2190000000000004E-2</v>
      </c>
      <c r="H60" s="388">
        <v>6.6769999999999996E-2</v>
      </c>
      <c r="I60" s="388">
        <v>6.1769999999999999E-2</v>
      </c>
      <c r="J60" s="388">
        <v>5.713E-2</v>
      </c>
      <c r="K60" s="388">
        <v>5.2850000000000001E-2</v>
      </c>
      <c r="L60" s="388">
        <v>4.888E-2</v>
      </c>
      <c r="M60" s="388">
        <v>4.5220000000000003E-2</v>
      </c>
      <c r="N60" s="388">
        <v>4.462E-2</v>
      </c>
      <c r="O60" s="388">
        <v>4.4609999999999997E-2</v>
      </c>
      <c r="P60" s="388">
        <v>4.462E-2</v>
      </c>
      <c r="Q60" s="388">
        <v>4.4609999999999997E-2</v>
      </c>
      <c r="R60" s="388">
        <v>4.462E-2</v>
      </c>
      <c r="S60" s="388">
        <v>4.4609999999999997E-2</v>
      </c>
      <c r="T60" s="388">
        <v>4.462E-2</v>
      </c>
      <c r="U60" s="388">
        <v>4.4609999999999997E-2</v>
      </c>
      <c r="V60" s="388">
        <v>4.462E-2</v>
      </c>
      <c r="W60" s="388">
        <v>4.4609999999999997E-2</v>
      </c>
      <c r="X60" s="388">
        <v>4.462E-2</v>
      </c>
      <c r="Y60" s="388">
        <v>4.4609999999999997E-2</v>
      </c>
      <c r="Z60" s="388">
        <v>2.231E-2</v>
      </c>
      <c r="AA60" s="387"/>
      <c r="AB60" s="387"/>
      <c r="AC60" s="387"/>
      <c r="AD60" s="387"/>
      <c r="AE60" s="387"/>
      <c r="AF60" s="387"/>
      <c r="AG60" s="387"/>
      <c r="AH60" s="387"/>
      <c r="AI60" s="387"/>
    </row>
    <row r="61" spans="1:35" x14ac:dyDescent="0.25">
      <c r="A61" s="387" t="s">
        <v>141</v>
      </c>
      <c r="B61" s="387"/>
      <c r="C61" s="387"/>
      <c r="D61" s="387"/>
      <c r="E61" s="387"/>
      <c r="F61" s="389">
        <f t="shared" ref="F61:Z61" si="13">$B$6*F60</f>
        <v>0</v>
      </c>
      <c r="G61" s="389">
        <f t="shared" si="13"/>
        <v>0</v>
      </c>
      <c r="H61" s="389">
        <f t="shared" si="13"/>
        <v>0</v>
      </c>
      <c r="I61" s="389">
        <f t="shared" si="13"/>
        <v>0</v>
      </c>
      <c r="J61" s="389">
        <f t="shared" si="13"/>
        <v>0</v>
      </c>
      <c r="K61" s="389">
        <f t="shared" si="13"/>
        <v>0</v>
      </c>
      <c r="L61" s="389">
        <f t="shared" si="13"/>
        <v>0</v>
      </c>
      <c r="M61" s="389">
        <f t="shared" si="13"/>
        <v>0</v>
      </c>
      <c r="N61" s="389">
        <f t="shared" si="13"/>
        <v>0</v>
      </c>
      <c r="O61" s="389">
        <f t="shared" si="13"/>
        <v>0</v>
      </c>
      <c r="P61" s="389">
        <f t="shared" si="13"/>
        <v>0</v>
      </c>
      <c r="Q61" s="389">
        <f t="shared" si="13"/>
        <v>0</v>
      </c>
      <c r="R61" s="389">
        <f t="shared" si="13"/>
        <v>0</v>
      </c>
      <c r="S61" s="389">
        <f t="shared" si="13"/>
        <v>0</v>
      </c>
      <c r="T61" s="389">
        <f t="shared" si="13"/>
        <v>0</v>
      </c>
      <c r="U61" s="389">
        <f t="shared" si="13"/>
        <v>0</v>
      </c>
      <c r="V61" s="389">
        <f t="shared" si="13"/>
        <v>0</v>
      </c>
      <c r="W61" s="389">
        <f t="shared" si="13"/>
        <v>0</v>
      </c>
      <c r="X61" s="389">
        <f t="shared" si="13"/>
        <v>0</v>
      </c>
      <c r="Y61" s="389">
        <f t="shared" si="13"/>
        <v>0</v>
      </c>
      <c r="Z61" s="389">
        <f t="shared" si="13"/>
        <v>0</v>
      </c>
      <c r="AA61" s="387"/>
      <c r="AB61" s="387"/>
      <c r="AC61" s="387"/>
      <c r="AD61" s="387"/>
      <c r="AE61" s="387"/>
      <c r="AF61" s="387"/>
      <c r="AG61" s="387"/>
      <c r="AH61" s="387"/>
      <c r="AI61" s="387"/>
    </row>
    <row r="62" spans="1:35" x14ac:dyDescent="0.25">
      <c r="A62" s="387" t="s">
        <v>142</v>
      </c>
      <c r="B62" s="390"/>
      <c r="C62" s="390"/>
      <c r="D62" s="390"/>
      <c r="E62" s="390"/>
      <c r="F62" s="391">
        <f>$B$6-$B$16-F61</f>
        <v>0</v>
      </c>
      <c r="G62" s="392">
        <f t="shared" ref="G62:Z62" si="14">F62-G61</f>
        <v>0</v>
      </c>
      <c r="H62" s="392">
        <f t="shared" si="14"/>
        <v>0</v>
      </c>
      <c r="I62" s="392">
        <f t="shared" si="14"/>
        <v>0</v>
      </c>
      <c r="J62" s="392">
        <f t="shared" si="14"/>
        <v>0</v>
      </c>
      <c r="K62" s="392">
        <f t="shared" si="14"/>
        <v>0</v>
      </c>
      <c r="L62" s="392">
        <f t="shared" si="14"/>
        <v>0</v>
      </c>
      <c r="M62" s="392">
        <f t="shared" si="14"/>
        <v>0</v>
      </c>
      <c r="N62" s="392">
        <f t="shared" si="14"/>
        <v>0</v>
      </c>
      <c r="O62" s="392">
        <f t="shared" si="14"/>
        <v>0</v>
      </c>
      <c r="P62" s="392">
        <f t="shared" si="14"/>
        <v>0</v>
      </c>
      <c r="Q62" s="392">
        <f t="shared" si="14"/>
        <v>0</v>
      </c>
      <c r="R62" s="392">
        <f t="shared" si="14"/>
        <v>0</v>
      </c>
      <c r="S62" s="392">
        <f t="shared" si="14"/>
        <v>0</v>
      </c>
      <c r="T62" s="392">
        <f t="shared" si="14"/>
        <v>0</v>
      </c>
      <c r="U62" s="392">
        <f t="shared" si="14"/>
        <v>0</v>
      </c>
      <c r="V62" s="392">
        <f t="shared" si="14"/>
        <v>0</v>
      </c>
      <c r="W62" s="392">
        <f t="shared" si="14"/>
        <v>0</v>
      </c>
      <c r="X62" s="392">
        <f t="shared" si="14"/>
        <v>0</v>
      </c>
      <c r="Y62" s="392">
        <f t="shared" si="14"/>
        <v>0</v>
      </c>
      <c r="Z62" s="392">
        <f t="shared" si="14"/>
        <v>0</v>
      </c>
      <c r="AA62" s="390"/>
      <c r="AB62" s="390"/>
      <c r="AC62" s="390"/>
      <c r="AD62" s="390"/>
      <c r="AE62" s="390"/>
      <c r="AF62" s="390"/>
      <c r="AG62" s="390"/>
      <c r="AH62" s="390"/>
      <c r="AI62" s="390"/>
    </row>
    <row r="63" spans="1:35" x14ac:dyDescent="0.25">
      <c r="A63" s="43" t="s">
        <v>144</v>
      </c>
      <c r="B63" s="43"/>
      <c r="C63" s="43"/>
      <c r="D63" s="43"/>
      <c r="E63" s="43"/>
      <c r="F63" s="51">
        <f ca="1">F49-F55-F58-F61-F45</f>
        <v>-15815903.319395507</v>
      </c>
      <c r="G63" s="51">
        <f t="shared" ref="G63:AI63" ca="1" si="15">G49-G55-G58-G61-G45</f>
        <v>-18779676.646287672</v>
      </c>
      <c r="H63" s="51">
        <f t="shared" ca="1" si="15"/>
        <v>-9110076.0613498092</v>
      </c>
      <c r="I63" s="51">
        <f t="shared" ca="1" si="15"/>
        <v>-2031230.0647786995</v>
      </c>
      <c r="J63" s="51">
        <f t="shared" ca="1" si="15"/>
        <v>3195816.7174955644</v>
      </c>
      <c r="K63" s="51">
        <f t="shared" ca="1" si="15"/>
        <v>3801377.0699617676</v>
      </c>
      <c r="L63" s="51">
        <f t="shared" ca="1" si="15"/>
        <v>4428047.1292145774</v>
      </c>
      <c r="M63" s="51">
        <f t="shared" ca="1" si="15"/>
        <v>10993466.75556422</v>
      </c>
      <c r="N63" s="51">
        <f t="shared" ca="1" si="15"/>
        <v>17601024.248629075</v>
      </c>
      <c r="O63" s="51">
        <f t="shared" ca="1" si="15"/>
        <v>18407003.032917522</v>
      </c>
      <c r="P63" s="51">
        <f t="shared" ca="1" si="15"/>
        <v>19277460.119949047</v>
      </c>
      <c r="Q63" s="51">
        <f t="shared" ca="1" si="15"/>
        <v>19277460.119949047</v>
      </c>
      <c r="R63" s="51">
        <f t="shared" ca="1" si="15"/>
        <v>19277460.119949047</v>
      </c>
      <c r="S63" s="51">
        <f t="shared" ca="1" si="15"/>
        <v>19277460.119949047</v>
      </c>
      <c r="T63" s="51">
        <f t="shared" ca="1" si="15"/>
        <v>19277460.119949043</v>
      </c>
      <c r="U63" s="51">
        <f t="shared" ca="1" si="15"/>
        <v>19277460.119949043</v>
      </c>
      <c r="V63" s="51">
        <f t="shared" ca="1" si="15"/>
        <v>19277460.119949043</v>
      </c>
      <c r="W63" s="51">
        <f t="shared" ca="1" si="15"/>
        <v>19277460.119949043</v>
      </c>
      <c r="X63" s="51">
        <f t="shared" ca="1" si="15"/>
        <v>19277460.119949043</v>
      </c>
      <c r="Y63" s="51">
        <f t="shared" ca="1" si="15"/>
        <v>19277460.119949043</v>
      </c>
      <c r="Z63" s="51">
        <f t="shared" ca="1" si="15"/>
        <v>19277460.119949043</v>
      </c>
      <c r="AA63" s="51">
        <f t="shared" ca="1" si="15"/>
        <v>19277460.119949039</v>
      </c>
      <c r="AB63" s="51">
        <f t="shared" ca="1" si="15"/>
        <v>19277460.119949039</v>
      </c>
      <c r="AC63" s="51">
        <f t="shared" ca="1" si="15"/>
        <v>19277460.119949039</v>
      </c>
      <c r="AD63" s="51">
        <f t="shared" ca="1" si="15"/>
        <v>19277460.119949039</v>
      </c>
      <c r="AE63" s="51">
        <f t="shared" ca="1" si="15"/>
        <v>19277460.119949035</v>
      </c>
      <c r="AF63" s="51">
        <f t="shared" ca="1" si="15"/>
        <v>19277460.119949035</v>
      </c>
      <c r="AG63" s="51">
        <f t="shared" ca="1" si="15"/>
        <v>19277460.119949035</v>
      </c>
      <c r="AH63" s="51">
        <f t="shared" ca="1" si="15"/>
        <v>19277460.119949035</v>
      </c>
      <c r="AI63" s="51">
        <f t="shared" ca="1" si="15"/>
        <v>19277460.119949043</v>
      </c>
    </row>
    <row r="64" spans="1:35" x14ac:dyDescent="0.25">
      <c r="A64" s="22" t="s">
        <v>145</v>
      </c>
      <c r="B64" s="22"/>
      <c r="C64" s="22"/>
      <c r="D64" s="22"/>
      <c r="E64" s="22"/>
      <c r="F64" s="51"/>
      <c r="G64" s="51">
        <f t="shared" ref="G64:AI64" ca="1" si="16">IF(F65&lt;0,F65,0)</f>
        <v>-15815903.319395507</v>
      </c>
      <c r="H64" s="51">
        <f t="shared" ca="1" si="16"/>
        <v>-34595579.965683177</v>
      </c>
      <c r="I64" s="51">
        <f t="shared" ca="1" si="16"/>
        <v>-43705656.027032986</v>
      </c>
      <c r="J64" s="51">
        <f t="shared" ca="1" si="16"/>
        <v>-45736886.091811687</v>
      </c>
      <c r="K64" s="51">
        <f t="shared" ca="1" si="16"/>
        <v>-42541069.374316126</v>
      </c>
      <c r="L64" s="51">
        <f t="shared" ca="1" si="16"/>
        <v>-38739692.304354355</v>
      </c>
      <c r="M64" s="51">
        <f t="shared" ca="1" si="16"/>
        <v>-34311645.175139777</v>
      </c>
      <c r="N64" s="51">
        <f t="shared" ca="1" si="16"/>
        <v>-23318178.419575557</v>
      </c>
      <c r="O64" s="51">
        <f t="shared" ca="1" si="16"/>
        <v>-5717154.1709464826</v>
      </c>
      <c r="P64" s="51">
        <f t="shared" ca="1" si="16"/>
        <v>0</v>
      </c>
      <c r="Q64" s="51">
        <f t="shared" ca="1" si="16"/>
        <v>0</v>
      </c>
      <c r="R64" s="51">
        <f t="shared" ca="1" si="16"/>
        <v>0</v>
      </c>
      <c r="S64" s="51">
        <f t="shared" ca="1" si="16"/>
        <v>0</v>
      </c>
      <c r="T64" s="51">
        <f t="shared" ca="1" si="16"/>
        <v>0</v>
      </c>
      <c r="U64" s="51">
        <f t="shared" ca="1" si="16"/>
        <v>0</v>
      </c>
      <c r="V64" s="51">
        <f t="shared" ca="1" si="16"/>
        <v>0</v>
      </c>
      <c r="W64" s="51">
        <f t="shared" ca="1" si="16"/>
        <v>0</v>
      </c>
      <c r="X64" s="51">
        <f t="shared" ca="1" si="16"/>
        <v>0</v>
      </c>
      <c r="Y64" s="51">
        <f t="shared" ca="1" si="16"/>
        <v>0</v>
      </c>
      <c r="Z64" s="51">
        <f t="shared" ca="1" si="16"/>
        <v>0</v>
      </c>
      <c r="AA64" s="51">
        <f t="shared" ca="1" si="16"/>
        <v>0</v>
      </c>
      <c r="AB64" s="51">
        <f t="shared" ca="1" si="16"/>
        <v>0</v>
      </c>
      <c r="AC64" s="51">
        <f t="shared" ca="1" si="16"/>
        <v>0</v>
      </c>
      <c r="AD64" s="51">
        <f t="shared" ca="1" si="16"/>
        <v>0</v>
      </c>
      <c r="AE64" s="51">
        <f t="shared" ca="1" si="16"/>
        <v>0</v>
      </c>
      <c r="AF64" s="51">
        <f t="shared" ca="1" si="16"/>
        <v>0</v>
      </c>
      <c r="AG64" s="51">
        <f t="shared" ca="1" si="16"/>
        <v>0</v>
      </c>
      <c r="AH64" s="51">
        <f t="shared" ca="1" si="16"/>
        <v>0</v>
      </c>
      <c r="AI64" s="51">
        <f t="shared" ca="1" si="16"/>
        <v>0</v>
      </c>
    </row>
    <row r="65" spans="1:35" x14ac:dyDescent="0.25">
      <c r="A65" s="22" t="s">
        <v>146</v>
      </c>
      <c r="B65" s="22"/>
      <c r="C65" s="22"/>
      <c r="D65" s="22"/>
      <c r="E65" s="22"/>
      <c r="F65" s="51">
        <f t="shared" ref="F65:AI65" ca="1" si="17">F63+F64</f>
        <v>-15815903.319395507</v>
      </c>
      <c r="G65" s="51">
        <f t="shared" ca="1" si="17"/>
        <v>-34595579.965683177</v>
      </c>
      <c r="H65" s="51">
        <f t="shared" ca="1" si="17"/>
        <v>-43705656.027032986</v>
      </c>
      <c r="I65" s="51">
        <f t="shared" ca="1" si="17"/>
        <v>-45736886.091811687</v>
      </c>
      <c r="J65" s="51">
        <f t="shared" ca="1" si="17"/>
        <v>-42541069.374316126</v>
      </c>
      <c r="K65" s="51">
        <f t="shared" ca="1" si="17"/>
        <v>-38739692.304354355</v>
      </c>
      <c r="L65" s="51">
        <f t="shared" ca="1" si="17"/>
        <v>-34311645.175139777</v>
      </c>
      <c r="M65" s="51">
        <f t="shared" ca="1" si="17"/>
        <v>-23318178.419575557</v>
      </c>
      <c r="N65" s="51">
        <f t="shared" ca="1" si="17"/>
        <v>-5717154.1709464826</v>
      </c>
      <c r="O65" s="51">
        <f t="shared" ca="1" si="17"/>
        <v>12689848.861971039</v>
      </c>
      <c r="P65" s="51">
        <f t="shared" ca="1" si="17"/>
        <v>19277460.119949047</v>
      </c>
      <c r="Q65" s="51">
        <f t="shared" ca="1" si="17"/>
        <v>19277460.119949047</v>
      </c>
      <c r="R65" s="51">
        <f t="shared" ca="1" si="17"/>
        <v>19277460.119949047</v>
      </c>
      <c r="S65" s="51">
        <f t="shared" ca="1" si="17"/>
        <v>19277460.119949047</v>
      </c>
      <c r="T65" s="51">
        <f t="shared" ca="1" si="17"/>
        <v>19277460.119949043</v>
      </c>
      <c r="U65" s="51">
        <f t="shared" ca="1" si="17"/>
        <v>19277460.119949043</v>
      </c>
      <c r="V65" s="51">
        <f t="shared" ca="1" si="17"/>
        <v>19277460.119949043</v>
      </c>
      <c r="W65" s="51">
        <f t="shared" ca="1" si="17"/>
        <v>19277460.119949043</v>
      </c>
      <c r="X65" s="51">
        <f t="shared" ca="1" si="17"/>
        <v>19277460.119949043</v>
      </c>
      <c r="Y65" s="51">
        <f t="shared" ca="1" si="17"/>
        <v>19277460.119949043</v>
      </c>
      <c r="Z65" s="51">
        <f t="shared" ca="1" si="17"/>
        <v>19277460.119949043</v>
      </c>
      <c r="AA65" s="51">
        <f t="shared" ca="1" si="17"/>
        <v>19277460.119949039</v>
      </c>
      <c r="AB65" s="51">
        <f t="shared" ca="1" si="17"/>
        <v>19277460.119949039</v>
      </c>
      <c r="AC65" s="51">
        <f t="shared" ca="1" si="17"/>
        <v>19277460.119949039</v>
      </c>
      <c r="AD65" s="51">
        <f t="shared" ca="1" si="17"/>
        <v>19277460.119949039</v>
      </c>
      <c r="AE65" s="51">
        <f t="shared" ca="1" si="17"/>
        <v>19277460.119949035</v>
      </c>
      <c r="AF65" s="51">
        <f t="shared" ca="1" si="17"/>
        <v>19277460.119949035</v>
      </c>
      <c r="AG65" s="51">
        <f t="shared" ca="1" si="17"/>
        <v>19277460.119949035</v>
      </c>
      <c r="AH65" s="51">
        <f t="shared" ca="1" si="17"/>
        <v>19277460.119949035</v>
      </c>
      <c r="AI65" s="51">
        <f t="shared" ca="1" si="17"/>
        <v>19277460.119949043</v>
      </c>
    </row>
    <row r="66" spans="1:35" x14ac:dyDescent="0.25">
      <c r="A66" s="45" t="s">
        <v>147</v>
      </c>
      <c r="B66" s="45"/>
      <c r="C66" s="45"/>
      <c r="D66" s="45"/>
      <c r="E66" s="45"/>
      <c r="F66" s="52">
        <f t="shared" ref="F66:AI66" ca="1" si="18">IF(F65*($B$30)&lt;0,0,F65*$B$30)</f>
        <v>0</v>
      </c>
      <c r="G66" s="52">
        <f t="shared" ca="1" si="18"/>
        <v>0</v>
      </c>
      <c r="H66" s="52">
        <f t="shared" ca="1" si="18"/>
        <v>0</v>
      </c>
      <c r="I66" s="52">
        <f t="shared" ca="1" si="18"/>
        <v>0</v>
      </c>
      <c r="J66" s="52">
        <f t="shared" ca="1" si="18"/>
        <v>0</v>
      </c>
      <c r="K66" s="52">
        <f t="shared" ca="1" si="18"/>
        <v>0</v>
      </c>
      <c r="L66" s="52">
        <f t="shared" ca="1" si="18"/>
        <v>0</v>
      </c>
      <c r="M66" s="52">
        <f t="shared" ca="1" si="18"/>
        <v>0</v>
      </c>
      <c r="N66" s="52">
        <f t="shared" ca="1" si="18"/>
        <v>0</v>
      </c>
      <c r="O66" s="52">
        <f t="shared" ca="1" si="18"/>
        <v>4441447.101689863</v>
      </c>
      <c r="P66" s="52">
        <f t="shared" ca="1" si="18"/>
        <v>6747111.0419821655</v>
      </c>
      <c r="Q66" s="52">
        <f t="shared" ca="1" si="18"/>
        <v>6747111.0419821655</v>
      </c>
      <c r="R66" s="52">
        <f t="shared" ca="1" si="18"/>
        <v>6747111.0419821655</v>
      </c>
      <c r="S66" s="52">
        <f t="shared" ca="1" si="18"/>
        <v>6747111.0419821655</v>
      </c>
      <c r="T66" s="52">
        <f t="shared" ca="1" si="18"/>
        <v>6747111.0419821646</v>
      </c>
      <c r="U66" s="52">
        <f t="shared" ca="1" si="18"/>
        <v>6747111.0419821646</v>
      </c>
      <c r="V66" s="52">
        <f t="shared" ca="1" si="18"/>
        <v>6747111.0419821646</v>
      </c>
      <c r="W66" s="52">
        <f t="shared" ca="1" si="18"/>
        <v>6747111.0419821646</v>
      </c>
      <c r="X66" s="52">
        <f t="shared" ca="1" si="18"/>
        <v>6747111.0419821646</v>
      </c>
      <c r="Y66" s="52">
        <f t="shared" ca="1" si="18"/>
        <v>6747111.0419821646</v>
      </c>
      <c r="Z66" s="52">
        <f t="shared" ca="1" si="18"/>
        <v>6747111.0419821646</v>
      </c>
      <c r="AA66" s="52">
        <f t="shared" ca="1" si="18"/>
        <v>6747111.0419821637</v>
      </c>
      <c r="AB66" s="52">
        <f t="shared" ca="1" si="18"/>
        <v>6747111.0419821637</v>
      </c>
      <c r="AC66" s="52">
        <f t="shared" ca="1" si="18"/>
        <v>6747111.0419821637</v>
      </c>
      <c r="AD66" s="52">
        <f t="shared" ca="1" si="18"/>
        <v>6747111.0419821637</v>
      </c>
      <c r="AE66" s="52">
        <f t="shared" ca="1" si="18"/>
        <v>6747111.0419821618</v>
      </c>
      <c r="AF66" s="52">
        <f t="shared" ca="1" si="18"/>
        <v>6747111.0419821618</v>
      </c>
      <c r="AG66" s="52">
        <f t="shared" ca="1" si="18"/>
        <v>6747111.0419821618</v>
      </c>
      <c r="AH66" s="52">
        <f t="shared" ca="1" si="18"/>
        <v>6747111.0419821618</v>
      </c>
      <c r="AI66" s="52">
        <f t="shared" ca="1" si="18"/>
        <v>6747111.0419821646</v>
      </c>
    </row>
    <row r="67" spans="1:35" x14ac:dyDescent="0.25">
      <c r="A67" s="43" t="s">
        <v>148</v>
      </c>
      <c r="B67" s="43"/>
      <c r="C67" s="43"/>
      <c r="D67" s="43"/>
      <c r="E67" s="43"/>
      <c r="F67" s="53">
        <f t="shared" ref="F67:AI67" ca="1" si="19">F49-F55-F66-F44</f>
        <v>-2479214.9688373134</v>
      </c>
      <c r="G67" s="53">
        <f t="shared" ca="1" si="19"/>
        <v>7526289.4450234752</v>
      </c>
      <c r="H67" s="53">
        <f t="shared" ca="1" si="19"/>
        <v>7526289.4450234752</v>
      </c>
      <c r="I67" s="53">
        <f t="shared" ca="1" si="19"/>
        <v>7526289.4450234752</v>
      </c>
      <c r="J67" s="53">
        <f t="shared" ca="1" si="19"/>
        <v>7526289.4450234752</v>
      </c>
      <c r="K67" s="53">
        <f t="shared" ca="1" si="19"/>
        <v>7526289.4450234752</v>
      </c>
      <c r="L67" s="53">
        <f t="shared" ca="1" si="19"/>
        <v>7526289.4450234752</v>
      </c>
      <c r="M67" s="53">
        <f t="shared" ca="1" si="19"/>
        <v>7526289.4450234752</v>
      </c>
      <c r="N67" s="53">
        <f t="shared" ca="1" si="19"/>
        <v>7526289.4450234752</v>
      </c>
      <c r="O67" s="53">
        <f t="shared" ca="1" si="19"/>
        <v>3084842.3433336113</v>
      </c>
      <c r="P67" s="53">
        <f t="shared" ca="1" si="19"/>
        <v>12530349.077966884</v>
      </c>
      <c r="Q67" s="53">
        <f t="shared" ca="1" si="19"/>
        <v>12530349.077966884</v>
      </c>
      <c r="R67" s="53">
        <f t="shared" ca="1" si="19"/>
        <v>12530349.077966884</v>
      </c>
      <c r="S67" s="53">
        <f t="shared" ca="1" si="19"/>
        <v>12530349.077966884</v>
      </c>
      <c r="T67" s="53">
        <f t="shared" ca="1" si="19"/>
        <v>12530349.077966886</v>
      </c>
      <c r="U67" s="53">
        <f t="shared" ca="1" si="19"/>
        <v>12530349.077966886</v>
      </c>
      <c r="V67" s="53">
        <f t="shared" ca="1" si="19"/>
        <v>12530349.077966886</v>
      </c>
      <c r="W67" s="53">
        <f t="shared" ca="1" si="19"/>
        <v>12530349.077966886</v>
      </c>
      <c r="X67" s="53">
        <f t="shared" ca="1" si="19"/>
        <v>12530349.077966886</v>
      </c>
      <c r="Y67" s="53">
        <f t="shared" ca="1" si="19"/>
        <v>12530349.077966886</v>
      </c>
      <c r="Z67" s="53">
        <f t="shared" ca="1" si="19"/>
        <v>12530349.077966886</v>
      </c>
      <c r="AA67" s="53">
        <f t="shared" ca="1" si="19"/>
        <v>12530349.077966888</v>
      </c>
      <c r="AB67" s="53">
        <f t="shared" ca="1" si="19"/>
        <v>12530349.077966888</v>
      </c>
      <c r="AC67" s="53">
        <f t="shared" ca="1" si="19"/>
        <v>12530349.077966888</v>
      </c>
      <c r="AD67" s="53">
        <f t="shared" ca="1" si="19"/>
        <v>12530349.077966888</v>
      </c>
      <c r="AE67" s="53">
        <f t="shared" ca="1" si="19"/>
        <v>12530349.077966888</v>
      </c>
      <c r="AF67" s="53">
        <f t="shared" ca="1" si="19"/>
        <v>12530349.077966888</v>
      </c>
      <c r="AG67" s="53">
        <f t="shared" ca="1" si="19"/>
        <v>12530349.077966888</v>
      </c>
      <c r="AH67" s="53">
        <f t="shared" ca="1" si="19"/>
        <v>12530349.077966888</v>
      </c>
      <c r="AI67" s="53">
        <f t="shared" ca="1" si="19"/>
        <v>12530349.077966886</v>
      </c>
    </row>
    <row r="68" spans="1:35" x14ac:dyDescent="0.25">
      <c r="A68" s="22" t="s">
        <v>149</v>
      </c>
      <c r="B68" s="22"/>
      <c r="C68" s="54">
        <f t="shared" ref="C68:AI68" si="20">1/(1+$B$29)^C40</f>
        <v>1.2100000000000002</v>
      </c>
      <c r="D68" s="54">
        <f t="shared" si="20"/>
        <v>1.1000000000000001</v>
      </c>
      <c r="E68" s="54">
        <f t="shared" si="20"/>
        <v>1</v>
      </c>
      <c r="F68" s="54">
        <f t="shared" si="20"/>
        <v>0.90909090909090906</v>
      </c>
      <c r="G68" s="54">
        <f t="shared" si="20"/>
        <v>0.82644628099173545</v>
      </c>
      <c r="H68" s="54">
        <f t="shared" si="20"/>
        <v>0.75131480090157754</v>
      </c>
      <c r="I68" s="54">
        <f t="shared" si="20"/>
        <v>0.68301345536507052</v>
      </c>
      <c r="J68" s="54">
        <f t="shared" si="20"/>
        <v>0.62092132305915493</v>
      </c>
      <c r="K68" s="54">
        <f t="shared" si="20"/>
        <v>0.56447393005377722</v>
      </c>
      <c r="L68" s="54">
        <f t="shared" si="20"/>
        <v>0.51315811823070645</v>
      </c>
      <c r="M68" s="54">
        <f t="shared" si="20"/>
        <v>0.46650738020973315</v>
      </c>
      <c r="N68" s="54">
        <f t="shared" si="20"/>
        <v>0.42409761837248466</v>
      </c>
      <c r="O68" s="54">
        <f t="shared" si="20"/>
        <v>0.38554328942953148</v>
      </c>
      <c r="P68" s="54">
        <f t="shared" si="20"/>
        <v>0.3504938994813922</v>
      </c>
      <c r="Q68" s="54">
        <f t="shared" si="20"/>
        <v>0.31863081771035656</v>
      </c>
      <c r="R68" s="54">
        <f t="shared" si="20"/>
        <v>0.28966437973668779</v>
      </c>
      <c r="S68" s="54">
        <f t="shared" si="20"/>
        <v>0.26333125430607973</v>
      </c>
      <c r="T68" s="54">
        <f t="shared" si="20"/>
        <v>0.23939204936916339</v>
      </c>
      <c r="U68" s="54">
        <f t="shared" si="20"/>
        <v>0.21762913579014853</v>
      </c>
      <c r="V68" s="54">
        <f t="shared" si="20"/>
        <v>0.19784466890013502</v>
      </c>
      <c r="W68" s="54">
        <f t="shared" si="20"/>
        <v>0.17985878990921364</v>
      </c>
      <c r="X68" s="54">
        <f t="shared" si="20"/>
        <v>0.16350799082655781</v>
      </c>
      <c r="Y68" s="54">
        <f t="shared" si="20"/>
        <v>0.14864362802414349</v>
      </c>
      <c r="Z68" s="54">
        <f t="shared" si="20"/>
        <v>0.13513057093103953</v>
      </c>
      <c r="AA68" s="54">
        <f t="shared" si="20"/>
        <v>0.12284597357367227</v>
      </c>
      <c r="AB68" s="54">
        <f t="shared" si="20"/>
        <v>0.11167815779424752</v>
      </c>
      <c r="AC68" s="54">
        <f t="shared" si="20"/>
        <v>0.10152559799477048</v>
      </c>
      <c r="AD68" s="54">
        <f t="shared" si="20"/>
        <v>9.2295998177064048E-2</v>
      </c>
      <c r="AE68" s="54">
        <f t="shared" si="20"/>
        <v>8.3905452888240042E-2</v>
      </c>
      <c r="AF68" s="54">
        <f t="shared" si="20"/>
        <v>7.6277684443854576E-2</v>
      </c>
      <c r="AG68" s="54">
        <f t="shared" si="20"/>
        <v>6.9343349494413245E-2</v>
      </c>
      <c r="AH68" s="54">
        <f t="shared" si="20"/>
        <v>6.3039408631284766E-2</v>
      </c>
      <c r="AI68" s="54">
        <f t="shared" si="20"/>
        <v>5.7308553301167964E-2</v>
      </c>
    </row>
    <row r="69" spans="1:35" x14ac:dyDescent="0.25">
      <c r="A69" s="22" t="s">
        <v>150</v>
      </c>
      <c r="B69" s="51">
        <f ca="1">SUM(F69:AI69)</f>
        <v>76566465.555008382</v>
      </c>
      <c r="C69" s="22"/>
      <c r="D69" s="22"/>
      <c r="E69" s="22"/>
      <c r="F69" s="51">
        <f t="shared" ref="F69:AI69" ca="1" si="21">F67*F68</f>
        <v>-2253831.7898521028</v>
      </c>
      <c r="G69" s="51">
        <f t="shared" ca="1" si="21"/>
        <v>6220073.9215070037</v>
      </c>
      <c r="H69" s="51">
        <f t="shared" ca="1" si="21"/>
        <v>5654612.6559154568</v>
      </c>
      <c r="I69" s="51">
        <f t="shared" ca="1" si="21"/>
        <v>5140556.9599231426</v>
      </c>
      <c r="J69" s="51">
        <f t="shared" ca="1" si="21"/>
        <v>4673233.599930129</v>
      </c>
      <c r="K69" s="51">
        <f t="shared" ca="1" si="21"/>
        <v>4248394.1817546627</v>
      </c>
      <c r="L69" s="51">
        <f t="shared" ca="1" si="21"/>
        <v>3862176.5288678748</v>
      </c>
      <c r="M69" s="51">
        <f t="shared" ca="1" si="21"/>
        <v>3511069.5716980677</v>
      </c>
      <c r="N69" s="51">
        <f t="shared" ca="1" si="21"/>
        <v>3191881.4288164251</v>
      </c>
      <c r="O69" s="51">
        <f t="shared" ca="1" si="21"/>
        <v>1189340.2644203445</v>
      </c>
      <c r="P69" s="51">
        <f t="shared" ca="1" si="21"/>
        <v>4391810.9101996804</v>
      </c>
      <c r="Q69" s="51">
        <f t="shared" ca="1" si="21"/>
        <v>3992555.3729088004</v>
      </c>
      <c r="R69" s="51">
        <f t="shared" ca="1" si="21"/>
        <v>3629595.7935534553</v>
      </c>
      <c r="S69" s="51">
        <f t="shared" ca="1" si="21"/>
        <v>3299632.5395940491</v>
      </c>
      <c r="T69" s="51">
        <f t="shared" ca="1" si="21"/>
        <v>2999665.9450854994</v>
      </c>
      <c r="U69" s="51">
        <f t="shared" ca="1" si="21"/>
        <v>2726969.0409868178</v>
      </c>
      <c r="V69" s="51">
        <f t="shared" ca="1" si="21"/>
        <v>2479062.7645334709</v>
      </c>
      <c r="W69" s="51">
        <f t="shared" ca="1" si="21"/>
        <v>2253693.4223031551</v>
      </c>
      <c r="X69" s="51">
        <f t="shared" ca="1" si="21"/>
        <v>2048812.2020937768</v>
      </c>
      <c r="Y69" s="51">
        <f t="shared" ca="1" si="21"/>
        <v>1862556.5473579792</v>
      </c>
      <c r="Z69" s="51">
        <f t="shared" ca="1" si="21"/>
        <v>1693233.2248708899</v>
      </c>
      <c r="AA69" s="51">
        <f t="shared" ca="1" si="21"/>
        <v>1539302.9317008089</v>
      </c>
      <c r="AB69" s="51">
        <f t="shared" ca="1" si="21"/>
        <v>1399366.3015461899</v>
      </c>
      <c r="AC69" s="51">
        <f t="shared" ca="1" si="21"/>
        <v>1272151.1832238091</v>
      </c>
      <c r="AD69" s="51">
        <f t="shared" ca="1" si="21"/>
        <v>1156501.075658008</v>
      </c>
      <c r="AE69" s="51">
        <f t="shared" ca="1" si="21"/>
        <v>1051364.6142345527</v>
      </c>
      <c r="AF69" s="51">
        <f t="shared" ca="1" si="21"/>
        <v>955786.01294050238</v>
      </c>
      <c r="AG69" s="51">
        <f t="shared" ca="1" si="21"/>
        <v>868896.3754004566</v>
      </c>
      <c r="AH69" s="51">
        <f t="shared" ca="1" si="21"/>
        <v>789905.79581859696</v>
      </c>
      <c r="AI69" s="51">
        <f t="shared" ca="1" si="21"/>
        <v>718096.17801690614</v>
      </c>
    </row>
    <row r="70" spans="1:35" x14ac:dyDescent="0.25">
      <c r="A70" s="22" t="s">
        <v>151</v>
      </c>
      <c r="B70" s="22"/>
      <c r="C70" s="51">
        <f ca="1">(C41+C42+C45)*C68</f>
        <v>7935242.5439640628</v>
      </c>
      <c r="D70" s="51">
        <f ca="1">(D41+D45)*D68</f>
        <v>39413039.67092029</v>
      </c>
      <c r="E70" s="51">
        <f ca="1">(E41+E45+E43)*E68</f>
        <v>29700660.763537623</v>
      </c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51">
        <f ca="1">(AI41+AI45+AI43+AI42)*AI68</f>
        <v>-482477.42341363395</v>
      </c>
    </row>
    <row r="71" spans="1:35" x14ac:dyDescent="0.25">
      <c r="A71" s="45" t="s">
        <v>152</v>
      </c>
      <c r="B71" s="45"/>
      <c r="C71" s="45"/>
      <c r="D71" s="45"/>
      <c r="E71" s="52">
        <f ca="1">B69-SUM(B70:AI70)</f>
        <v>0</v>
      </c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</row>
    <row r="72" spans="1:3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</row>
    <row r="73" spans="1:35" x14ac:dyDescent="0.25">
      <c r="A73" s="13"/>
      <c r="B73" s="13"/>
      <c r="C73" s="13"/>
      <c r="D73" s="13"/>
      <c r="E73" s="13"/>
      <c r="F73" s="13"/>
      <c r="G73" s="13" t="s">
        <v>66</v>
      </c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</row>
    <row r="74" spans="1:35" x14ac:dyDescent="0.25">
      <c r="A74" s="13"/>
      <c r="B74" s="13"/>
      <c r="C74" s="13"/>
      <c r="D74" s="13"/>
      <c r="E74" s="13"/>
      <c r="F74" s="13" t="s">
        <v>68</v>
      </c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</row>
    <row r="75" spans="1:35" x14ac:dyDescent="0.25">
      <c r="A75" s="13"/>
      <c r="B75" s="13"/>
      <c r="C75" s="13"/>
      <c r="D75" s="13"/>
      <c r="E75" s="13"/>
      <c r="F75" s="13" t="s">
        <v>153</v>
      </c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</row>
    <row r="76" spans="1:35" x14ac:dyDescent="0.25">
      <c r="A76" s="13"/>
      <c r="B76" s="13"/>
      <c r="C76" s="13"/>
      <c r="D76" s="13"/>
      <c r="E76" s="13"/>
      <c r="F76" s="13" t="s">
        <v>69</v>
      </c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</row>
    <row r="77" spans="1:35" x14ac:dyDescent="0.25">
      <c r="A77" s="13"/>
      <c r="B77" s="13"/>
      <c r="C77" s="13"/>
      <c r="D77" s="13"/>
      <c r="E77" s="13"/>
      <c r="F77" s="13" t="s">
        <v>70</v>
      </c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</row>
    <row r="78" spans="1:35" ht="15.75" thickBot="1" x14ac:dyDescent="0.3">
      <c r="A78" s="13"/>
      <c r="B78" s="13"/>
      <c r="C78" s="13"/>
      <c r="D78" s="13"/>
      <c r="E78" s="13"/>
      <c r="F78" s="13"/>
      <c r="G78" s="13" t="s">
        <v>66</v>
      </c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</row>
    <row r="79" spans="1:35" s="56" customFormat="1" x14ac:dyDescent="0.25">
      <c r="A79" s="380" t="s">
        <v>79</v>
      </c>
      <c r="B79" s="428">
        <f ca="1">SUM(F79:AI79)</f>
        <v>23858732.25035058</v>
      </c>
      <c r="C79" s="428"/>
      <c r="D79" s="428"/>
      <c r="E79" s="428"/>
      <c r="F79" s="428">
        <f ca="1">+F68*F66</f>
        <v>0</v>
      </c>
      <c r="G79" s="428">
        <f t="shared" ref="G79:AI79" ca="1" si="22">+G68*G66</f>
        <v>0</v>
      </c>
      <c r="H79" s="428">
        <f t="shared" ca="1" si="22"/>
        <v>0</v>
      </c>
      <c r="I79" s="428">
        <f t="shared" ca="1" si="22"/>
        <v>0</v>
      </c>
      <c r="J79" s="428">
        <f t="shared" ca="1" si="22"/>
        <v>0</v>
      </c>
      <c r="K79" s="428">
        <f t="shared" ca="1" si="22"/>
        <v>0</v>
      </c>
      <c r="L79" s="428">
        <f t="shared" ca="1" si="22"/>
        <v>0</v>
      </c>
      <c r="M79" s="428">
        <f t="shared" ca="1" si="22"/>
        <v>0</v>
      </c>
      <c r="N79" s="428">
        <f t="shared" ca="1" si="22"/>
        <v>0</v>
      </c>
      <c r="O79" s="428">
        <f t="shared" ca="1" si="22"/>
        <v>1712370.1254127687</v>
      </c>
      <c r="P79" s="428">
        <f t="shared" ca="1" si="22"/>
        <v>2364821.2593382886</v>
      </c>
      <c r="Q79" s="428">
        <f t="shared" ca="1" si="22"/>
        <v>2149837.5084893531</v>
      </c>
      <c r="R79" s="428">
        <f t="shared" ca="1" si="22"/>
        <v>1954397.7349903213</v>
      </c>
      <c r="S79" s="428">
        <f t="shared" ca="1" si="22"/>
        <v>1776725.2136275643</v>
      </c>
      <c r="T79" s="428">
        <f t="shared" ca="1" si="22"/>
        <v>1615204.7396614219</v>
      </c>
      <c r="U79" s="428">
        <f t="shared" ca="1" si="22"/>
        <v>1468367.9451467469</v>
      </c>
      <c r="V79" s="428">
        <f t="shared" ca="1" si="22"/>
        <v>1334879.9501334063</v>
      </c>
      <c r="W79" s="428">
        <f t="shared" ca="1" si="22"/>
        <v>1213527.2273940057</v>
      </c>
      <c r="X79" s="428">
        <f t="shared" ca="1" si="22"/>
        <v>1103206.5703581867</v>
      </c>
      <c r="Y79" s="428">
        <f t="shared" ca="1" si="22"/>
        <v>1002915.0639619881</v>
      </c>
      <c r="Z79" s="428">
        <f t="shared" ca="1" si="22"/>
        <v>911740.96723817091</v>
      </c>
      <c r="AA79" s="428">
        <f t="shared" ca="1" si="22"/>
        <v>828855.42476197332</v>
      </c>
      <c r="AB79" s="428">
        <f t="shared" ca="1" si="22"/>
        <v>753504.93160179385</v>
      </c>
      <c r="AC79" s="428">
        <f t="shared" ca="1" si="22"/>
        <v>685004.48327435809</v>
      </c>
      <c r="AD79" s="428">
        <f t="shared" ca="1" si="22"/>
        <v>622731.34843123448</v>
      </c>
      <c r="AE79" s="428">
        <f t="shared" ca="1" si="22"/>
        <v>566119.4076647585</v>
      </c>
      <c r="AF79" s="428">
        <f t="shared" ca="1" si="22"/>
        <v>514654.0069679622</v>
      </c>
      <c r="AG79" s="428">
        <f t="shared" ca="1" si="22"/>
        <v>467867.27906178375</v>
      </c>
      <c r="AH79" s="428">
        <f t="shared" ca="1" si="22"/>
        <v>425333.89005616703</v>
      </c>
      <c r="AI79" s="428">
        <f t="shared" ca="1" si="22"/>
        <v>386667.17277833377</v>
      </c>
    </row>
    <row r="80" spans="1:35" s="29" customFormat="1" x14ac:dyDescent="0.25">
      <c r="A80" s="35" t="s">
        <v>80</v>
      </c>
      <c r="B80" s="429">
        <f ca="1">SUM(F80:AI80)</f>
        <v>97516986.250107124</v>
      </c>
      <c r="C80" s="429"/>
      <c r="D80" s="429"/>
      <c r="E80" s="429"/>
      <c r="F80" s="429">
        <f ca="1">+F68*F55</f>
        <v>8996586.8949381337</v>
      </c>
      <c r="G80" s="429">
        <f t="shared" ref="G80:AI80" ca="1" si="23">+G68*G55</f>
        <v>8588737.996474918</v>
      </c>
      <c r="H80" s="429">
        <f t="shared" ca="1" si="23"/>
        <v>7807943.6331590153</v>
      </c>
      <c r="I80" s="429">
        <f t="shared" ca="1" si="23"/>
        <v>7098130.5755991051</v>
      </c>
      <c r="J80" s="429">
        <f t="shared" ca="1" si="23"/>
        <v>6452845.9778173678</v>
      </c>
      <c r="K80" s="429">
        <f t="shared" ca="1" si="23"/>
        <v>5866223.6161976075</v>
      </c>
      <c r="L80" s="429">
        <f t="shared" ca="1" si="23"/>
        <v>5332930.5601796415</v>
      </c>
      <c r="M80" s="429">
        <f t="shared" ca="1" si="23"/>
        <v>4848118.6910724016</v>
      </c>
      <c r="N80" s="429">
        <f t="shared" ca="1" si="23"/>
        <v>4407380.6282476373</v>
      </c>
      <c r="O80" s="429">
        <f t="shared" ca="1" si="23"/>
        <v>4006709.6620433065</v>
      </c>
      <c r="P80" s="429">
        <f t="shared" ca="1" si="23"/>
        <v>3642463.3291302784</v>
      </c>
      <c r="Q80" s="429">
        <f t="shared" ca="1" si="23"/>
        <v>3311330.2992093442</v>
      </c>
      <c r="R80" s="429">
        <f t="shared" ca="1" si="23"/>
        <v>3010300.2720084945</v>
      </c>
      <c r="S80" s="429">
        <f t="shared" ca="1" si="23"/>
        <v>2736636.6109168124</v>
      </c>
      <c r="T80" s="429">
        <f t="shared" ca="1" si="23"/>
        <v>2487851.4644698296</v>
      </c>
      <c r="U80" s="429">
        <f t="shared" ca="1" si="23"/>
        <v>2261683.149518027</v>
      </c>
      <c r="V80" s="429">
        <f t="shared" ca="1" si="23"/>
        <v>2056075.5904709334</v>
      </c>
      <c r="W80" s="429">
        <f t="shared" ca="1" si="23"/>
        <v>1869159.6277008483</v>
      </c>
      <c r="X80" s="429">
        <f t="shared" ca="1" si="23"/>
        <v>1699236.025182589</v>
      </c>
      <c r="Y80" s="429">
        <f t="shared" ca="1" si="23"/>
        <v>1544760.022893263</v>
      </c>
      <c r="Z80" s="429">
        <f t="shared" ca="1" si="23"/>
        <v>1404327.2935393299</v>
      </c>
      <c r="AA80" s="429">
        <f t="shared" ca="1" si="23"/>
        <v>1276661.175944845</v>
      </c>
      <c r="AB80" s="429">
        <f t="shared" ca="1" si="23"/>
        <v>1160601.0690407681</v>
      </c>
      <c r="AC80" s="429">
        <f t="shared" ca="1" si="23"/>
        <v>1055091.8809461531</v>
      </c>
      <c r="AD80" s="429">
        <f t="shared" ca="1" si="23"/>
        <v>959174.4372237752</v>
      </c>
      <c r="AE80" s="429">
        <f t="shared" ca="1" si="23"/>
        <v>871976.76111252292</v>
      </c>
      <c r="AF80" s="429">
        <f t="shared" ca="1" si="23"/>
        <v>792706.14646592981</v>
      </c>
      <c r="AG80" s="429">
        <f t="shared" ca="1" si="23"/>
        <v>720641.95133266342</v>
      </c>
      <c r="AH80" s="429">
        <f t="shared" ca="1" si="23"/>
        <v>655129.04666605766</v>
      </c>
      <c r="AI80" s="429">
        <f t="shared" ca="1" si="23"/>
        <v>595571.86060550692</v>
      </c>
    </row>
    <row r="81" spans="1:35" s="29" customFormat="1" x14ac:dyDescent="0.25">
      <c r="A81" s="35" t="s">
        <v>81</v>
      </c>
      <c r="B81" s="429">
        <f ca="1">TCI</f>
        <v>139837795.58280754</v>
      </c>
      <c r="C81" s="429"/>
      <c r="D81" s="429"/>
      <c r="E81" s="429"/>
      <c r="F81" s="429"/>
      <c r="G81" s="429" t="s">
        <v>66</v>
      </c>
      <c r="H81" s="429"/>
      <c r="I81" s="429"/>
      <c r="J81" s="429"/>
      <c r="K81" s="429"/>
      <c r="L81" s="429"/>
      <c r="M81" s="429"/>
      <c r="N81" s="429"/>
      <c r="O81" s="429"/>
      <c r="P81" s="429"/>
      <c r="Q81" s="429"/>
      <c r="R81" s="429"/>
      <c r="S81" s="429"/>
      <c r="T81" s="429"/>
      <c r="U81" s="429"/>
      <c r="V81" s="429"/>
      <c r="W81" s="429"/>
      <c r="X81" s="429"/>
      <c r="Y81" s="429"/>
      <c r="Z81" s="429"/>
      <c r="AA81" s="429"/>
      <c r="AB81" s="429"/>
      <c r="AC81" s="429"/>
      <c r="AD81" s="429"/>
      <c r="AE81" s="429"/>
      <c r="AF81" s="429"/>
      <c r="AG81" s="429"/>
      <c r="AH81" s="429"/>
      <c r="AI81" s="429"/>
    </row>
    <row r="82" spans="1:35" s="58" customFormat="1" ht="15.75" thickBot="1" x14ac:dyDescent="0.3">
      <c r="A82" s="430" t="s">
        <v>637</v>
      </c>
      <c r="B82" s="431">
        <f ca="1">SUM(B79:B81)</f>
        <v>261213514.08326524</v>
      </c>
      <c r="C82" s="432"/>
      <c r="D82" s="432"/>
      <c r="E82" s="432"/>
      <c r="F82" s="432"/>
      <c r="G82" s="432" t="s">
        <v>66</v>
      </c>
      <c r="H82" s="432"/>
      <c r="I82" s="432"/>
      <c r="J82" s="432"/>
      <c r="K82" s="432"/>
      <c r="L82" s="432"/>
      <c r="M82" s="432"/>
      <c r="N82" s="432"/>
      <c r="O82" s="432"/>
      <c r="P82" s="432"/>
      <c r="Q82" s="432"/>
      <c r="R82" s="432"/>
      <c r="S82" s="432"/>
      <c r="T82" s="432"/>
      <c r="U82" s="432"/>
      <c r="V82" s="432"/>
      <c r="W82" s="432"/>
      <c r="X82" s="432"/>
      <c r="Y82" s="432"/>
      <c r="Z82" s="432"/>
      <c r="AA82" s="432"/>
      <c r="AB82" s="432"/>
      <c r="AC82" s="432"/>
      <c r="AD82" s="432"/>
      <c r="AE82" s="432"/>
      <c r="AF82" s="432"/>
      <c r="AG82" s="432"/>
      <c r="AH82" s="432"/>
      <c r="AI82" s="432"/>
    </row>
    <row r="83" spans="1:35" x14ac:dyDescent="0.25">
      <c r="G83" s="14" t="s">
        <v>66</v>
      </c>
    </row>
  </sheetData>
  <mergeCells count="3">
    <mergeCell ref="A2:E2"/>
    <mergeCell ref="G2:L2"/>
    <mergeCell ref="G25:H25"/>
  </mergeCells>
  <pageMargins left="0.7" right="0.7" top="0.75" bottom="0.75" header="0.3" footer="0.3"/>
  <pageSetup orientation="portrait" horizontalDpi="300" verticalDpi="300" r:id="rId1"/>
  <ignoredErrors>
    <ignoredError sqref="B2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07.SolveProductCost_Click">
                <anchor moveWithCells="1" sizeWithCells="1">
                  <from>
                    <xdr:col>3</xdr:col>
                    <xdr:colOff>66675</xdr:colOff>
                    <xdr:row>31</xdr:row>
                    <xdr:rowOff>19050</xdr:rowOff>
                  </from>
                  <to>
                    <xdr:col>4</xdr:col>
                    <xdr:colOff>1714500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heet07.SolveBiomassCost_Click">
                <anchor moveWithCells="1" sizeWithCells="1">
                  <from>
                    <xdr:col>3</xdr:col>
                    <xdr:colOff>76200</xdr:colOff>
                    <xdr:row>19</xdr:row>
                    <xdr:rowOff>19050</xdr:rowOff>
                  </from>
                  <to>
                    <xdr:col>4</xdr:col>
                    <xdr:colOff>1704975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9">
    <tabColor theme="4" tint="0.59999389629810485"/>
  </sheetPr>
  <dimension ref="A1:Q46"/>
  <sheetViews>
    <sheetView workbookViewId="0"/>
  </sheetViews>
  <sheetFormatPr defaultRowHeight="15" x14ac:dyDescent="0.25"/>
  <cols>
    <col min="1" max="1" width="37.42578125" bestFit="1" customWidth="1"/>
    <col min="2" max="3" width="10" customWidth="1"/>
    <col min="4" max="4" width="27.28515625" bestFit="1" customWidth="1"/>
    <col min="5" max="5" width="14.42578125" bestFit="1" customWidth="1"/>
    <col min="6" max="6" width="12.140625" bestFit="1" customWidth="1"/>
    <col min="7" max="7" width="10.5703125" bestFit="1" customWidth="1"/>
    <col min="8" max="8" width="14.140625" bestFit="1" customWidth="1"/>
    <col min="9" max="9" width="15.5703125" bestFit="1" customWidth="1"/>
    <col min="10" max="10" width="27.5703125" bestFit="1" customWidth="1"/>
    <col min="11" max="11" width="31.85546875" bestFit="1" customWidth="1"/>
    <col min="12" max="12" width="16.140625" bestFit="1" customWidth="1"/>
    <col min="13" max="13" width="30" bestFit="1" customWidth="1"/>
    <col min="14" max="14" width="30.140625" bestFit="1" customWidth="1"/>
    <col min="15" max="15" width="18" bestFit="1" customWidth="1"/>
    <col min="16" max="16" width="20.42578125" bestFit="1" customWidth="1"/>
    <col min="17" max="17" width="78.5703125" bestFit="1" customWidth="1"/>
    <col min="23" max="23" width="19.140625" bestFit="1" customWidth="1"/>
  </cols>
  <sheetData>
    <row r="1" spans="4:17" s="93" customFormat="1" ht="15.75" thickBot="1" x14ac:dyDescent="0.3">
      <c r="F1" s="463" t="s">
        <v>415</v>
      </c>
      <c r="G1" s="464" t="s">
        <v>416</v>
      </c>
      <c r="H1" s="464" t="s">
        <v>417</v>
      </c>
      <c r="I1" s="464" t="s">
        <v>418</v>
      </c>
      <c r="J1" s="464" t="s">
        <v>419</v>
      </c>
      <c r="K1" s="464" t="s">
        <v>420</v>
      </c>
      <c r="L1" s="464" t="s">
        <v>421</v>
      </c>
      <c r="M1" s="464" t="s">
        <v>422</v>
      </c>
      <c r="N1" s="464" t="s">
        <v>423</v>
      </c>
      <c r="O1" s="465" t="s">
        <v>424</v>
      </c>
      <c r="P1" s="648" t="s">
        <v>451</v>
      </c>
      <c r="Q1" s="637" t="s">
        <v>448</v>
      </c>
    </row>
    <row r="2" spans="4:17" ht="18.75" thickBot="1" x14ac:dyDescent="0.4">
      <c r="D2" s="471" t="s">
        <v>414</v>
      </c>
      <c r="E2" s="472" t="s">
        <v>434</v>
      </c>
      <c r="F2" s="466" t="s">
        <v>431</v>
      </c>
      <c r="G2" s="467" t="s">
        <v>425</v>
      </c>
      <c r="H2" s="467" t="s">
        <v>426</v>
      </c>
      <c r="I2" s="467" t="s">
        <v>432</v>
      </c>
      <c r="J2" s="467" t="s">
        <v>427</v>
      </c>
      <c r="K2" s="467" t="s">
        <v>427</v>
      </c>
      <c r="L2" s="467" t="s">
        <v>428</v>
      </c>
      <c r="M2" s="467" t="s">
        <v>433</v>
      </c>
      <c r="N2" s="469" t="s">
        <v>429</v>
      </c>
      <c r="O2" s="470" t="s">
        <v>430</v>
      </c>
      <c r="P2" s="649"/>
      <c r="Q2" s="638"/>
    </row>
    <row r="3" spans="4:17" ht="18" x14ac:dyDescent="0.35">
      <c r="D3" s="90" t="s">
        <v>440</v>
      </c>
      <c r="E3" s="92" t="s">
        <v>441</v>
      </c>
      <c r="F3" s="277">
        <v>8.6999999999999994E-3</v>
      </c>
      <c r="G3" s="278">
        <v>20.499589599999997</v>
      </c>
      <c r="H3" s="278">
        <v>9.6021947873799722E-5</v>
      </c>
      <c r="I3" s="278">
        <v>12.13</v>
      </c>
      <c r="J3" s="278">
        <v>1.7264499999999999E-8</v>
      </c>
      <c r="K3" s="278">
        <v>1.371312E-6</v>
      </c>
      <c r="L3" s="278">
        <v>2.9900000000000002E-6</v>
      </c>
      <c r="M3" s="278">
        <v>0.21071500000000001</v>
      </c>
      <c r="N3" s="278">
        <v>186.32149999999999</v>
      </c>
      <c r="O3" s="279">
        <v>2E-3</v>
      </c>
      <c r="P3" s="285" t="s">
        <v>452</v>
      </c>
      <c r="Q3" s="285" t="s">
        <v>455</v>
      </c>
    </row>
    <row r="4" spans="4:17" ht="17.25" x14ac:dyDescent="0.25">
      <c r="D4" s="85" t="s">
        <v>275</v>
      </c>
      <c r="E4" s="86" t="s">
        <v>446</v>
      </c>
      <c r="F4" s="280">
        <v>1.5891991288102063E-3</v>
      </c>
      <c r="G4" s="276">
        <v>0.83594676220223718</v>
      </c>
      <c r="H4" s="276">
        <v>1.818138871126177E-4</v>
      </c>
      <c r="I4" s="276">
        <v>0.25200806153750915</v>
      </c>
      <c r="J4" s="276">
        <v>4.2392864542691092E-9</v>
      </c>
      <c r="K4" s="276">
        <v>1.773270153617678E-8</v>
      </c>
      <c r="L4" s="276">
        <v>8.8259123615855679E-9</v>
      </c>
      <c r="M4" s="276">
        <v>5.7964530394764638E-3</v>
      </c>
      <c r="N4" s="276">
        <v>5.4379232219917277</v>
      </c>
      <c r="O4" s="281">
        <v>1.2828058063040108E-4</v>
      </c>
      <c r="P4" s="254" t="s">
        <v>453</v>
      </c>
      <c r="Q4" s="286" t="s">
        <v>449</v>
      </c>
    </row>
    <row r="5" spans="4:17" x14ac:dyDescent="0.25">
      <c r="D5" s="85" t="s">
        <v>435</v>
      </c>
      <c r="E5" s="86" t="s">
        <v>442</v>
      </c>
      <c r="F5" s="280">
        <v>3.9594804587638933E-5</v>
      </c>
      <c r="G5" s="276">
        <v>8.1980379053336433E-5</v>
      </c>
      <c r="H5" s="276">
        <v>1.3711726304037729E-6</v>
      </c>
      <c r="I5" s="276">
        <v>0.14466735880150186</v>
      </c>
      <c r="J5" s="276">
        <v>3.3181132392510619E-12</v>
      </c>
      <c r="K5" s="276">
        <v>4.4329742799209852E-11</v>
      </c>
      <c r="L5" s="276">
        <v>1.6231439467242574E-13</v>
      </c>
      <c r="M5" s="276">
        <v>7.2939201472115662E-4</v>
      </c>
      <c r="N5" s="276">
        <v>0</v>
      </c>
      <c r="O5" s="281">
        <v>1.5208269609375963E-6</v>
      </c>
      <c r="P5" s="254" t="s">
        <v>453</v>
      </c>
      <c r="Q5" s="286" t="s">
        <v>450</v>
      </c>
    </row>
    <row r="6" spans="4:17" ht="18" x14ac:dyDescent="0.35">
      <c r="D6" s="85" t="s">
        <v>676</v>
      </c>
      <c r="E6" s="86" t="s">
        <v>441</v>
      </c>
      <c r="F6" s="280">
        <v>4.4848793865378284E-3</v>
      </c>
      <c r="G6" s="276">
        <v>3.9552562077520173</v>
      </c>
      <c r="H6" s="276">
        <v>1.715832310154348E-3</v>
      </c>
      <c r="I6" s="276">
        <v>1.9028709019477941</v>
      </c>
      <c r="J6" s="276">
        <v>2.9025123203823824E-8</v>
      </c>
      <c r="K6" s="276">
        <v>1.7774816678424783E-7</v>
      </c>
      <c r="L6" s="276">
        <v>3.5050466501445266E-7</v>
      </c>
      <c r="M6" s="276">
        <v>5.0034497454561275E-2</v>
      </c>
      <c r="N6" s="276">
        <v>5.0164081615974387</v>
      </c>
      <c r="O6" s="281">
        <v>7.3435661913620175E-4</v>
      </c>
      <c r="P6" s="254" t="s">
        <v>456</v>
      </c>
      <c r="Q6" s="286"/>
    </row>
    <row r="7" spans="4:17" ht="18" x14ac:dyDescent="0.35">
      <c r="D7" s="85" t="s">
        <v>437</v>
      </c>
      <c r="E7" s="86" t="s">
        <v>447</v>
      </c>
      <c r="F7" s="280">
        <v>1.6281670654886275E-2</v>
      </c>
      <c r="G7" s="276">
        <v>15.780595686289336</v>
      </c>
      <c r="H7" s="276">
        <v>1.2076554983182549E-2</v>
      </c>
      <c r="I7" s="276">
        <v>1.5192595857473807</v>
      </c>
      <c r="J7" s="276">
        <v>8.733174258780326E-8</v>
      </c>
      <c r="K7" s="276">
        <v>8.3257378227965137E-7</v>
      </c>
      <c r="L7" s="276">
        <v>2.6365998670653524E-7</v>
      </c>
      <c r="M7" s="276">
        <v>0.10194445911568449</v>
      </c>
      <c r="N7" s="276">
        <v>3.5398366559394852</v>
      </c>
      <c r="O7" s="281">
        <v>2.3006740713907691E-3</v>
      </c>
      <c r="P7" s="254" t="s">
        <v>456</v>
      </c>
      <c r="Q7" s="286" t="s">
        <v>457</v>
      </c>
    </row>
    <row r="8" spans="4:17" x14ac:dyDescent="0.25">
      <c r="D8" s="85" t="s">
        <v>436</v>
      </c>
      <c r="E8" s="86" t="s">
        <v>443</v>
      </c>
      <c r="F8" s="280">
        <v>4.2611445961706169E-3</v>
      </c>
      <c r="G8" s="276">
        <v>2.9262064684154536</v>
      </c>
      <c r="H8" s="276">
        <v>3.7287873373059058E-3</v>
      </c>
      <c r="I8" s="276">
        <v>0.65155080226220052</v>
      </c>
      <c r="J8" s="276">
        <v>4.6722364736028416E-8</v>
      </c>
      <c r="K8" s="276">
        <v>1.2991253922544619E-7</v>
      </c>
      <c r="L8" s="276">
        <v>3.3891925425301234E-8</v>
      </c>
      <c r="M8" s="276">
        <v>4.0462774101473524E-2</v>
      </c>
      <c r="N8" s="276">
        <v>0.44952216410173729</v>
      </c>
      <c r="O8" s="281">
        <v>1.104667247276E-3</v>
      </c>
      <c r="P8" s="254" t="s">
        <v>456</v>
      </c>
      <c r="Q8" s="286" t="s">
        <v>458</v>
      </c>
    </row>
    <row r="9" spans="4:17" ht="18" x14ac:dyDescent="0.35">
      <c r="D9" s="85" t="s">
        <v>678</v>
      </c>
      <c r="E9" s="86" t="s">
        <v>441</v>
      </c>
      <c r="F9" s="280"/>
      <c r="G9" s="276"/>
      <c r="H9" s="276"/>
      <c r="I9" s="276">
        <v>1</v>
      </c>
      <c r="J9" s="276"/>
      <c r="K9" s="276"/>
      <c r="L9" s="276"/>
      <c r="M9" s="276"/>
      <c r="N9" s="276"/>
      <c r="O9" s="281"/>
      <c r="P9" s="254" t="s">
        <v>456</v>
      </c>
      <c r="Q9" s="286" t="s">
        <v>460</v>
      </c>
    </row>
    <row r="10" spans="4:17" s="403" customFormat="1" ht="18" x14ac:dyDescent="0.35">
      <c r="D10" s="85" t="s">
        <v>705</v>
      </c>
      <c r="E10" s="86" t="s">
        <v>441</v>
      </c>
      <c r="F10" s="280"/>
      <c r="G10" s="276"/>
      <c r="H10" s="276"/>
      <c r="I10" s="276">
        <v>25</v>
      </c>
      <c r="J10" s="276"/>
      <c r="K10" s="276"/>
      <c r="L10" s="276"/>
      <c r="M10" s="276"/>
      <c r="N10" s="276"/>
      <c r="O10" s="281"/>
      <c r="P10" s="254" t="s">
        <v>453</v>
      </c>
      <c r="Q10" s="286" t="s">
        <v>460</v>
      </c>
    </row>
    <row r="11" spans="4:17" s="403" customFormat="1" ht="18" x14ac:dyDescent="0.35">
      <c r="D11" s="85" t="s">
        <v>706</v>
      </c>
      <c r="E11" s="86" t="s">
        <v>441</v>
      </c>
      <c r="F11" s="280"/>
      <c r="G11" s="276"/>
      <c r="H11" s="276"/>
      <c r="I11" s="276">
        <v>298</v>
      </c>
      <c r="J11" s="276"/>
      <c r="K11" s="276"/>
      <c r="L11" s="276"/>
      <c r="M11" s="276"/>
      <c r="N11" s="276"/>
      <c r="O11" s="281"/>
      <c r="P11" s="254" t="s">
        <v>453</v>
      </c>
      <c r="Q11" s="286" t="s">
        <v>460</v>
      </c>
    </row>
    <row r="12" spans="4:17" ht="18" x14ac:dyDescent="0.35">
      <c r="D12" s="85" t="s">
        <v>677</v>
      </c>
      <c r="E12" s="86" t="s">
        <v>441</v>
      </c>
      <c r="F12" s="280"/>
      <c r="G12" s="276"/>
      <c r="H12" s="276">
        <v>0.77929999999999999</v>
      </c>
      <c r="I12" s="276"/>
      <c r="J12" s="276"/>
      <c r="K12" s="276"/>
      <c r="L12" s="276"/>
      <c r="M12" s="276"/>
      <c r="N12" s="276"/>
      <c r="O12" s="281"/>
      <c r="P12" s="254" t="s">
        <v>456</v>
      </c>
      <c r="Q12" s="286" t="s">
        <v>459</v>
      </c>
    </row>
    <row r="13" spans="4:17" ht="18.75" thickBot="1" x14ac:dyDescent="0.4">
      <c r="D13" s="87" t="s">
        <v>679</v>
      </c>
      <c r="E13" s="89" t="s">
        <v>444</v>
      </c>
      <c r="F13" s="282"/>
      <c r="G13" s="283"/>
      <c r="H13" s="283">
        <v>7.29</v>
      </c>
      <c r="I13" s="283"/>
      <c r="J13" s="283"/>
      <c r="K13" s="283"/>
      <c r="L13" s="283"/>
      <c r="M13" s="283"/>
      <c r="N13" s="283"/>
      <c r="O13" s="284"/>
      <c r="P13" s="260" t="s">
        <v>453</v>
      </c>
      <c r="Q13" s="287" t="s">
        <v>459</v>
      </c>
    </row>
    <row r="14" spans="4:17" s="403" customFormat="1" x14ac:dyDescent="0.25">
      <c r="D14" s="535" t="s">
        <v>769</v>
      </c>
      <c r="E14" s="536" t="s">
        <v>770</v>
      </c>
      <c r="F14" s="537"/>
      <c r="G14" s="278"/>
      <c r="H14" s="278"/>
      <c r="I14" s="278"/>
      <c r="J14" s="278"/>
      <c r="K14" s="278"/>
      <c r="L14" s="278"/>
      <c r="M14" s="278"/>
      <c r="N14" s="278">
        <v>0.34</v>
      </c>
      <c r="O14" s="279"/>
      <c r="P14" s="249" t="s">
        <v>771</v>
      </c>
      <c r="Q14" s="285" t="s">
        <v>772</v>
      </c>
    </row>
    <row r="15" spans="4:17" ht="15.75" thickBot="1" x14ac:dyDescent="0.3">
      <c r="D15" s="11" t="s">
        <v>438</v>
      </c>
      <c r="E15" s="531" t="s">
        <v>445</v>
      </c>
      <c r="F15" s="532">
        <f t="array" ref="F15:O15">(1/1000)*MMULT(TRANSPOSE(D21:D46), F21:O46)</f>
        <v>2.4842010746425882E-5</v>
      </c>
      <c r="G15" s="533">
        <v>0</v>
      </c>
      <c r="H15" s="533">
        <v>1.5391222741973158E-6</v>
      </c>
      <c r="I15" s="533">
        <v>7.5743998714053851E-2</v>
      </c>
      <c r="J15" s="533">
        <v>0</v>
      </c>
      <c r="K15" s="533">
        <v>0</v>
      </c>
      <c r="L15" s="533">
        <v>0</v>
      </c>
      <c r="M15" s="533">
        <v>1.0195463401605773E-3</v>
      </c>
      <c r="N15" s="533">
        <v>0</v>
      </c>
      <c r="O15" s="534">
        <v>4.4968027848137342E-6</v>
      </c>
      <c r="P15" s="105" t="s">
        <v>454</v>
      </c>
      <c r="Q15" s="105" t="s">
        <v>505</v>
      </c>
    </row>
    <row r="17" spans="1:15" ht="15.75" thickBot="1" x14ac:dyDescent="0.3"/>
    <row r="18" spans="1:15" ht="15.75" thickBot="1" x14ac:dyDescent="0.3">
      <c r="A18" s="461" t="s">
        <v>494</v>
      </c>
      <c r="B18" s="642" t="s">
        <v>462</v>
      </c>
      <c r="C18" s="643"/>
      <c r="D18" s="643"/>
      <c r="E18" s="644"/>
      <c r="F18" s="639" t="s">
        <v>504</v>
      </c>
      <c r="G18" s="640"/>
      <c r="H18" s="640"/>
      <c r="I18" s="640"/>
      <c r="J18" s="640"/>
      <c r="K18" s="640"/>
      <c r="L18" s="640"/>
      <c r="M18" s="640"/>
      <c r="N18" s="640"/>
      <c r="O18" s="641"/>
    </row>
    <row r="19" spans="1:15" ht="15.75" thickBot="1" x14ac:dyDescent="0.3">
      <c r="A19" s="462" t="s">
        <v>461</v>
      </c>
      <c r="B19" s="645"/>
      <c r="C19" s="646"/>
      <c r="D19" s="646"/>
      <c r="E19" s="647"/>
      <c r="F19" s="463" t="s">
        <v>415</v>
      </c>
      <c r="G19" s="464" t="s">
        <v>416</v>
      </c>
      <c r="H19" s="464" t="s">
        <v>417</v>
      </c>
      <c r="I19" s="464" t="s">
        <v>418</v>
      </c>
      <c r="J19" s="464" t="s">
        <v>419</v>
      </c>
      <c r="K19" s="464" t="s">
        <v>420</v>
      </c>
      <c r="L19" s="464" t="s">
        <v>421</v>
      </c>
      <c r="M19" s="464" t="s">
        <v>422</v>
      </c>
      <c r="N19" s="464" t="s">
        <v>423</v>
      </c>
      <c r="O19" s="465" t="s">
        <v>424</v>
      </c>
    </row>
    <row r="20" spans="1:15" ht="18.75" thickBot="1" x14ac:dyDescent="0.4">
      <c r="A20" s="456" t="s">
        <v>463</v>
      </c>
      <c r="B20" s="457" t="s">
        <v>464</v>
      </c>
      <c r="C20" s="458" t="s">
        <v>465</v>
      </c>
      <c r="D20" s="459" t="s">
        <v>466</v>
      </c>
      <c r="E20" s="460" t="s">
        <v>467</v>
      </c>
      <c r="F20" s="466" t="s">
        <v>431</v>
      </c>
      <c r="G20" s="467" t="s">
        <v>425</v>
      </c>
      <c r="H20" s="467" t="s">
        <v>426</v>
      </c>
      <c r="I20" s="467" t="s">
        <v>432</v>
      </c>
      <c r="J20" s="467" t="s">
        <v>427</v>
      </c>
      <c r="K20" s="467" t="s">
        <v>427</v>
      </c>
      <c r="L20" s="467" t="s">
        <v>428</v>
      </c>
      <c r="M20" s="467" t="s">
        <v>433</v>
      </c>
      <c r="N20" s="467" t="s">
        <v>429</v>
      </c>
      <c r="O20" s="468" t="s">
        <v>430</v>
      </c>
    </row>
    <row r="21" spans="1:15" x14ac:dyDescent="0.25">
      <c r="A21" s="249" t="s">
        <v>468</v>
      </c>
      <c r="B21" s="250">
        <v>66.736757665451208</v>
      </c>
      <c r="C21" s="251">
        <v>114.86231856669454</v>
      </c>
      <c r="D21" s="252">
        <v>947.8672985781991</v>
      </c>
      <c r="E21" s="253">
        <v>1129.4663748103451</v>
      </c>
      <c r="F21" s="250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  <c r="M21" s="251">
        <v>0</v>
      </c>
      <c r="N21" s="251">
        <v>0</v>
      </c>
      <c r="O21" s="253">
        <v>0</v>
      </c>
    </row>
    <row r="22" spans="1:15" x14ac:dyDescent="0.25">
      <c r="A22" s="254" t="s">
        <v>469</v>
      </c>
      <c r="B22" s="255">
        <v>62.847940454094932</v>
      </c>
      <c r="C22" s="256">
        <v>113.17522968825149</v>
      </c>
      <c r="D22" s="252">
        <v>947.8672985781991</v>
      </c>
      <c r="E22" s="257">
        <v>1123.8904687205456</v>
      </c>
      <c r="F22" s="255">
        <v>0</v>
      </c>
      <c r="G22" s="256">
        <v>0</v>
      </c>
      <c r="H22" s="256">
        <v>0</v>
      </c>
      <c r="I22" s="256">
        <v>0</v>
      </c>
      <c r="J22" s="256">
        <v>0</v>
      </c>
      <c r="K22" s="256">
        <v>0</v>
      </c>
      <c r="L22" s="256">
        <v>0</v>
      </c>
      <c r="M22" s="256">
        <v>0</v>
      </c>
      <c r="N22" s="256">
        <v>0</v>
      </c>
      <c r="O22" s="257">
        <v>0</v>
      </c>
    </row>
    <row r="23" spans="1:15" x14ac:dyDescent="0.25">
      <c r="A23" s="254" t="s">
        <v>470</v>
      </c>
      <c r="B23" s="255">
        <v>7.8817253660364281</v>
      </c>
      <c r="C23" s="256">
        <v>3.5262573840986118</v>
      </c>
      <c r="D23" s="252">
        <v>0</v>
      </c>
      <c r="E23" s="257">
        <v>11.407982750135041</v>
      </c>
      <c r="F23" s="255">
        <v>0</v>
      </c>
      <c r="G23" s="256">
        <v>0</v>
      </c>
      <c r="H23" s="256">
        <v>0</v>
      </c>
      <c r="I23" s="256">
        <v>0</v>
      </c>
      <c r="J23" s="256">
        <v>0</v>
      </c>
      <c r="K23" s="256">
        <v>0</v>
      </c>
      <c r="L23" s="256">
        <v>0</v>
      </c>
      <c r="M23" s="256">
        <v>0</v>
      </c>
      <c r="N23" s="256">
        <v>0</v>
      </c>
      <c r="O23" s="257">
        <v>0</v>
      </c>
    </row>
    <row r="24" spans="1:15" x14ac:dyDescent="0.25">
      <c r="A24" s="254" t="s">
        <v>471</v>
      </c>
      <c r="B24" s="255">
        <v>42.739856921032739</v>
      </c>
      <c r="C24" s="256">
        <v>75.155354068722062</v>
      </c>
      <c r="D24" s="252">
        <v>0</v>
      </c>
      <c r="E24" s="257">
        <v>117.8952109897548</v>
      </c>
      <c r="F24" s="255">
        <v>0</v>
      </c>
      <c r="G24" s="256">
        <v>0</v>
      </c>
      <c r="H24" s="256">
        <v>0</v>
      </c>
      <c r="I24" s="256">
        <v>0</v>
      </c>
      <c r="J24" s="256">
        <v>0</v>
      </c>
      <c r="K24" s="256">
        <v>0</v>
      </c>
      <c r="L24" s="256">
        <v>0</v>
      </c>
      <c r="M24" s="256">
        <v>0</v>
      </c>
      <c r="N24" s="256">
        <v>0</v>
      </c>
      <c r="O24" s="257">
        <v>0</v>
      </c>
    </row>
    <row r="25" spans="1:15" x14ac:dyDescent="0.25">
      <c r="A25" s="254" t="s">
        <v>472</v>
      </c>
      <c r="B25" s="255">
        <v>12.226358167025774</v>
      </c>
      <c r="C25" s="256">
        <v>34.49361823543083</v>
      </c>
      <c r="D25" s="252">
        <v>947.8672985781991</v>
      </c>
      <c r="E25" s="257">
        <v>994.58727498065559</v>
      </c>
      <c r="F25" s="255">
        <v>0</v>
      </c>
      <c r="G25" s="256">
        <v>0</v>
      </c>
      <c r="H25" s="256">
        <v>0</v>
      </c>
      <c r="I25" s="256">
        <v>0</v>
      </c>
      <c r="J25" s="256">
        <v>0</v>
      </c>
      <c r="K25" s="256">
        <v>0</v>
      </c>
      <c r="L25" s="256">
        <v>0</v>
      </c>
      <c r="M25" s="256">
        <v>0</v>
      </c>
      <c r="N25" s="256">
        <v>0</v>
      </c>
      <c r="O25" s="257">
        <v>0</v>
      </c>
    </row>
    <row r="26" spans="1:15" x14ac:dyDescent="0.25">
      <c r="A26" s="254" t="s">
        <v>473</v>
      </c>
      <c r="B26" s="255">
        <v>1.7805288258069263E-2</v>
      </c>
      <c r="C26" s="256">
        <v>4.2593655315928654E-3</v>
      </c>
      <c r="D26" s="252">
        <v>0</v>
      </c>
      <c r="E26" s="257">
        <v>2.2064653789662127E-2</v>
      </c>
      <c r="F26" s="255">
        <v>0</v>
      </c>
      <c r="G26" s="256">
        <v>0</v>
      </c>
      <c r="H26" s="256">
        <v>0</v>
      </c>
      <c r="I26" s="256">
        <v>0</v>
      </c>
      <c r="J26" s="256">
        <v>0</v>
      </c>
      <c r="K26" s="256">
        <v>0</v>
      </c>
      <c r="L26" s="256">
        <v>0</v>
      </c>
      <c r="M26" s="256">
        <v>0</v>
      </c>
      <c r="N26" s="256">
        <v>0</v>
      </c>
      <c r="O26" s="257">
        <v>0</v>
      </c>
    </row>
    <row r="27" spans="1:15" x14ac:dyDescent="0.25">
      <c r="A27" s="254" t="s">
        <v>474</v>
      </c>
      <c r="B27" s="255">
        <v>5.4991237646813529</v>
      </c>
      <c r="C27" s="256">
        <v>7.3656204516456434</v>
      </c>
      <c r="D27" s="258">
        <v>74.874469108869135</v>
      </c>
      <c r="E27" s="257">
        <v>87.739213325196147</v>
      </c>
      <c r="F27" s="255">
        <v>0</v>
      </c>
      <c r="G27" s="256">
        <v>0</v>
      </c>
      <c r="H27" s="256">
        <v>0</v>
      </c>
      <c r="I27" s="256">
        <v>0</v>
      </c>
      <c r="J27" s="256">
        <v>0</v>
      </c>
      <c r="K27" s="256">
        <v>0</v>
      </c>
      <c r="L27" s="256">
        <v>0</v>
      </c>
      <c r="M27" s="256">
        <v>0</v>
      </c>
      <c r="N27" s="256">
        <v>0</v>
      </c>
      <c r="O27" s="257">
        <v>0</v>
      </c>
    </row>
    <row r="28" spans="1:15" x14ac:dyDescent="0.25">
      <c r="A28" s="254" t="s">
        <v>475</v>
      </c>
      <c r="B28" s="255">
        <v>8.8092249815790946E-2</v>
      </c>
      <c r="C28" s="256">
        <v>1.7733444042791008E-2</v>
      </c>
      <c r="D28" s="258">
        <v>2.7465453411020729E-2</v>
      </c>
      <c r="E28" s="257">
        <v>0.13329114726960267</v>
      </c>
      <c r="F28" s="255">
        <v>0</v>
      </c>
      <c r="G28" s="256">
        <v>0</v>
      </c>
      <c r="H28" s="256">
        <v>0</v>
      </c>
      <c r="I28" s="256">
        <v>0</v>
      </c>
      <c r="J28" s="256">
        <v>0</v>
      </c>
      <c r="K28" s="256">
        <v>0</v>
      </c>
      <c r="L28" s="256">
        <v>0</v>
      </c>
      <c r="M28" s="256">
        <v>0</v>
      </c>
      <c r="N28" s="256">
        <v>0</v>
      </c>
      <c r="O28" s="257">
        <v>0</v>
      </c>
    </row>
    <row r="29" spans="1:15" x14ac:dyDescent="0.25">
      <c r="A29" s="254" t="s">
        <v>476</v>
      </c>
      <c r="B29" s="255">
        <v>8.5941458798232827E-5</v>
      </c>
      <c r="C29" s="256">
        <v>1.3189826086369984E-4</v>
      </c>
      <c r="D29" s="258">
        <v>1.7194718058148649E-4</v>
      </c>
      <c r="E29" s="257">
        <v>3.8978690024341918E-4</v>
      </c>
      <c r="F29" s="255">
        <v>0</v>
      </c>
      <c r="G29" s="256">
        <v>0</v>
      </c>
      <c r="H29" s="256">
        <v>0</v>
      </c>
      <c r="I29" s="256">
        <v>0</v>
      </c>
      <c r="J29" s="256">
        <v>0</v>
      </c>
      <c r="K29" s="256">
        <v>0</v>
      </c>
      <c r="L29" s="256">
        <v>0</v>
      </c>
      <c r="M29" s="256">
        <v>0</v>
      </c>
      <c r="N29" s="256">
        <v>0</v>
      </c>
      <c r="O29" s="257">
        <v>0</v>
      </c>
    </row>
    <row r="30" spans="1:15" x14ac:dyDescent="0.25">
      <c r="A30" s="254" t="s">
        <v>477</v>
      </c>
      <c r="B30" s="255">
        <v>8.1646657457366132</v>
      </c>
      <c r="C30" s="256">
        <v>7.9325768120582545</v>
      </c>
      <c r="D30" s="258">
        <v>75.743998714053845</v>
      </c>
      <c r="E30" s="257">
        <v>91.841241271848745</v>
      </c>
      <c r="F30" s="255">
        <v>0</v>
      </c>
      <c r="G30" s="256">
        <v>0</v>
      </c>
      <c r="H30" s="256">
        <v>0</v>
      </c>
      <c r="I30" s="507">
        <v>1</v>
      </c>
      <c r="J30" s="256">
        <v>0</v>
      </c>
      <c r="K30" s="256">
        <v>0</v>
      </c>
      <c r="L30" s="256">
        <v>0</v>
      </c>
      <c r="M30" s="256">
        <v>0</v>
      </c>
      <c r="N30" s="256">
        <v>0</v>
      </c>
      <c r="O30" s="257">
        <v>0</v>
      </c>
    </row>
    <row r="31" spans="1:15" x14ac:dyDescent="0.25">
      <c r="A31" s="254" t="s">
        <v>478</v>
      </c>
      <c r="B31" s="255">
        <v>3.7177429779275766E-3</v>
      </c>
      <c r="C31" s="256">
        <v>3.5404920283123933E-3</v>
      </c>
      <c r="D31" s="258">
        <v>3.2450904735037256E-2</v>
      </c>
      <c r="E31" s="257">
        <v>3.9709139741277225E-2</v>
      </c>
      <c r="F31" s="255">
        <v>0</v>
      </c>
      <c r="G31" s="506">
        <v>0</v>
      </c>
      <c r="H31" s="512">
        <v>0</v>
      </c>
      <c r="I31" s="512">
        <v>0</v>
      </c>
      <c r="J31" s="512">
        <v>0</v>
      </c>
      <c r="K31" s="512">
        <v>0</v>
      </c>
      <c r="L31" s="256">
        <v>0</v>
      </c>
      <c r="M31" s="507">
        <v>3.5953589739999998</v>
      </c>
      <c r="N31" s="506">
        <v>0</v>
      </c>
      <c r="O31" s="257">
        <v>0</v>
      </c>
    </row>
    <row r="32" spans="1:15" x14ac:dyDescent="0.25">
      <c r="A32" s="254" t="s">
        <v>479</v>
      </c>
      <c r="B32" s="255">
        <v>8.0047947905063314E-3</v>
      </c>
      <c r="C32" s="256">
        <v>4.104060602119845E-3</v>
      </c>
      <c r="D32" s="258">
        <v>0.74199331135491053</v>
      </c>
      <c r="E32" s="257">
        <v>0.75410216674753672</v>
      </c>
      <c r="F32" s="255">
        <v>0</v>
      </c>
      <c r="G32" s="256">
        <v>0</v>
      </c>
      <c r="H32" s="256">
        <v>0</v>
      </c>
      <c r="I32" s="256">
        <v>0</v>
      </c>
      <c r="J32" s="256">
        <v>0</v>
      </c>
      <c r="K32" s="256">
        <v>0</v>
      </c>
      <c r="L32" s="256">
        <v>0</v>
      </c>
      <c r="M32" s="507">
        <v>5.5622308000000002E-2</v>
      </c>
      <c r="N32" s="256">
        <v>0</v>
      </c>
      <c r="O32" s="508">
        <v>3.5599999999999998E-4</v>
      </c>
    </row>
    <row r="33" spans="1:15" x14ac:dyDescent="0.25">
      <c r="A33" s="254" t="s">
        <v>480</v>
      </c>
      <c r="B33" s="255">
        <v>1.8059427908195938E-2</v>
      </c>
      <c r="C33" s="256">
        <v>7.0877189895933732E-3</v>
      </c>
      <c r="D33" s="258">
        <v>3.4751010932429799E-2</v>
      </c>
      <c r="E33" s="257">
        <v>5.9898157830219102E-2</v>
      </c>
      <c r="F33" s="504">
        <v>0.7</v>
      </c>
      <c r="G33" s="509">
        <v>0</v>
      </c>
      <c r="H33" s="507">
        <v>4.4290000000000003E-2</v>
      </c>
      <c r="I33" s="509">
        <v>0</v>
      </c>
      <c r="J33" s="509">
        <v>0</v>
      </c>
      <c r="K33" s="509">
        <v>0</v>
      </c>
      <c r="L33" s="509">
        <v>0</v>
      </c>
      <c r="M33" s="507">
        <v>24.793589740000002</v>
      </c>
      <c r="N33" s="509">
        <v>0</v>
      </c>
      <c r="O33" s="508">
        <v>7.2222220000000004E-3</v>
      </c>
    </row>
    <row r="34" spans="1:15" x14ac:dyDescent="0.25">
      <c r="A34" s="254" t="s">
        <v>481</v>
      </c>
      <c r="B34" s="255">
        <v>9.4913709812422247E-4</v>
      </c>
      <c r="C34" s="256">
        <v>7.4752298450882562E-4</v>
      </c>
      <c r="D34" s="258">
        <v>6.2241626898776811E-3</v>
      </c>
      <c r="E34" s="257">
        <v>7.9208227725107282E-3</v>
      </c>
      <c r="F34" s="255">
        <v>0</v>
      </c>
      <c r="G34" s="256">
        <v>0</v>
      </c>
      <c r="H34" s="256">
        <v>0</v>
      </c>
      <c r="I34" s="256">
        <v>0</v>
      </c>
      <c r="J34" s="256">
        <v>0</v>
      </c>
      <c r="K34" s="256">
        <v>0</v>
      </c>
      <c r="L34" s="256">
        <v>0</v>
      </c>
      <c r="M34" s="256">
        <v>0</v>
      </c>
      <c r="N34" s="256">
        <v>0</v>
      </c>
      <c r="O34" s="508">
        <v>0.22777778000000001</v>
      </c>
    </row>
    <row r="35" spans="1:15" x14ac:dyDescent="0.25">
      <c r="A35" s="254" t="s">
        <v>482</v>
      </c>
      <c r="B35" s="255">
        <v>7.9953947413743639E-4</v>
      </c>
      <c r="C35" s="256">
        <v>6.2487039901839528E-4</v>
      </c>
      <c r="D35" s="258">
        <v>2.5639476904337844E-3</v>
      </c>
      <c r="E35" s="257">
        <v>3.9883575635896165E-3</v>
      </c>
      <c r="F35" s="255">
        <v>0</v>
      </c>
      <c r="G35" s="256">
        <v>0</v>
      </c>
      <c r="H35" s="256">
        <v>0</v>
      </c>
      <c r="I35" s="256">
        <v>0</v>
      </c>
      <c r="J35" s="256">
        <v>0</v>
      </c>
      <c r="K35" s="256">
        <v>0</v>
      </c>
      <c r="L35" s="256">
        <v>0</v>
      </c>
      <c r="M35" s="256">
        <v>0</v>
      </c>
      <c r="N35" s="256">
        <v>0</v>
      </c>
      <c r="O35" s="508">
        <v>1</v>
      </c>
    </row>
    <row r="36" spans="1:15" x14ac:dyDescent="0.25">
      <c r="A36" s="254" t="s">
        <v>483</v>
      </c>
      <c r="B36" s="255">
        <v>6.714837925343939E-3</v>
      </c>
      <c r="C36" s="256">
        <v>2.7486725102837698E-3</v>
      </c>
      <c r="D36" s="258">
        <v>5.1630309372502489E-4</v>
      </c>
      <c r="E36" s="257">
        <v>9.9798135293527341E-3</v>
      </c>
      <c r="F36" s="504">
        <v>1</v>
      </c>
      <c r="G36" s="256">
        <v>0</v>
      </c>
      <c r="H36" s="256">
        <v>0</v>
      </c>
      <c r="I36" s="256">
        <v>0</v>
      </c>
      <c r="J36" s="256">
        <v>0</v>
      </c>
      <c r="K36" s="256">
        <v>0</v>
      </c>
      <c r="L36" s="256">
        <v>0</v>
      </c>
      <c r="M36" s="256">
        <v>0</v>
      </c>
      <c r="N36" s="256">
        <v>0</v>
      </c>
      <c r="O36" s="257">
        <v>0</v>
      </c>
    </row>
    <row r="37" spans="1:15" x14ac:dyDescent="0.25">
      <c r="A37" s="254" t="s">
        <v>484</v>
      </c>
      <c r="B37" s="255">
        <v>1.6003364179467604E-4</v>
      </c>
      <c r="C37" s="256">
        <v>8.7237458969294785E-5</v>
      </c>
      <c r="D37" s="259">
        <v>4.2591623429735499E-4</v>
      </c>
      <c r="E37" s="257">
        <v>6.731873350613258E-4</v>
      </c>
      <c r="F37" s="505">
        <v>0</v>
      </c>
      <c r="G37" s="510">
        <v>0</v>
      </c>
      <c r="H37" s="510">
        <v>0</v>
      </c>
      <c r="I37" s="510">
        <v>0</v>
      </c>
      <c r="J37" s="510">
        <v>0</v>
      </c>
      <c r="K37" s="510">
        <v>0</v>
      </c>
      <c r="L37" s="510">
        <v>0</v>
      </c>
      <c r="M37" s="510">
        <v>0</v>
      </c>
      <c r="N37" s="510">
        <v>0</v>
      </c>
      <c r="O37" s="257">
        <v>0</v>
      </c>
    </row>
    <row r="38" spans="1:15" x14ac:dyDescent="0.25">
      <c r="A38" s="254" t="s">
        <v>485</v>
      </c>
      <c r="B38" s="255">
        <v>2.9355400505437799E-4</v>
      </c>
      <c r="C38" s="256">
        <v>1.2876255025447747E-4</v>
      </c>
      <c r="D38" s="259">
        <v>3.9556101901375309E-4</v>
      </c>
      <c r="E38" s="257">
        <v>8.1787757432260863E-4</v>
      </c>
      <c r="F38" s="255">
        <v>0</v>
      </c>
      <c r="G38" s="256">
        <v>0</v>
      </c>
      <c r="H38" s="256">
        <v>0</v>
      </c>
      <c r="I38" s="256">
        <v>0</v>
      </c>
      <c r="J38" s="256">
        <v>0</v>
      </c>
      <c r="K38" s="256">
        <v>0</v>
      </c>
      <c r="L38" s="256">
        <v>0</v>
      </c>
      <c r="M38" s="256">
        <v>0</v>
      </c>
      <c r="N38" s="256">
        <v>0</v>
      </c>
      <c r="O38" s="257">
        <v>0</v>
      </c>
    </row>
    <row r="39" spans="1:15" x14ac:dyDescent="0.25">
      <c r="A39" s="254" t="s">
        <v>486</v>
      </c>
      <c r="B39" s="255">
        <v>6.4279783290822163E-4</v>
      </c>
      <c r="C39" s="256">
        <v>2.0111239880212625E-3</v>
      </c>
      <c r="D39" s="259">
        <v>2.2715633314526081E-2</v>
      </c>
      <c r="E39" s="257">
        <v>2.5369555135455562E-2</v>
      </c>
      <c r="F39" s="255">
        <v>0</v>
      </c>
      <c r="G39" s="256">
        <v>0</v>
      </c>
      <c r="H39" s="256">
        <v>0</v>
      </c>
      <c r="I39" s="256">
        <v>0</v>
      </c>
      <c r="J39" s="256">
        <v>0</v>
      </c>
      <c r="K39" s="256">
        <v>0</v>
      </c>
      <c r="L39" s="256">
        <v>0</v>
      </c>
      <c r="M39" s="256">
        <v>0</v>
      </c>
      <c r="N39" s="256">
        <v>0</v>
      </c>
      <c r="O39" s="511">
        <v>0</v>
      </c>
    </row>
    <row r="40" spans="1:15" x14ac:dyDescent="0.25">
      <c r="A40" s="254" t="s">
        <v>487</v>
      </c>
      <c r="B40" s="255">
        <v>2.9890280777306846E-4</v>
      </c>
      <c r="C40" s="256">
        <v>1.416335257862681E-3</v>
      </c>
      <c r="D40" s="259">
        <v>0.5193953179484373</v>
      </c>
      <c r="E40" s="257">
        <v>0.52111055601407308</v>
      </c>
      <c r="F40" s="255">
        <v>0</v>
      </c>
      <c r="G40" s="256">
        <v>0</v>
      </c>
      <c r="H40" s="256">
        <v>0</v>
      </c>
      <c r="I40" s="256">
        <v>0</v>
      </c>
      <c r="J40" s="256">
        <v>0</v>
      </c>
      <c r="K40" s="256">
        <v>0</v>
      </c>
      <c r="L40" s="256">
        <v>0</v>
      </c>
      <c r="M40" s="256">
        <v>0</v>
      </c>
      <c r="N40" s="256">
        <v>0</v>
      </c>
      <c r="O40" s="257">
        <v>0</v>
      </c>
    </row>
    <row r="41" spans="1:15" x14ac:dyDescent="0.25">
      <c r="A41" s="254" t="s">
        <v>488</v>
      </c>
      <c r="B41" s="255">
        <v>8.3911886599998366E-4</v>
      </c>
      <c r="C41" s="256">
        <v>2.2685468521012535E-3</v>
      </c>
      <c r="D41" s="259">
        <v>2.4325707652700857E-2</v>
      </c>
      <c r="E41" s="257">
        <v>2.7433373370802094E-2</v>
      </c>
      <c r="F41" s="505">
        <v>0</v>
      </c>
      <c r="G41" s="510">
        <v>0</v>
      </c>
      <c r="H41" s="510">
        <v>0</v>
      </c>
      <c r="I41" s="510">
        <v>0</v>
      </c>
      <c r="J41" s="510">
        <v>0</v>
      </c>
      <c r="K41" s="510">
        <v>0</v>
      </c>
      <c r="L41" s="510">
        <v>0</v>
      </c>
      <c r="M41" s="510">
        <v>0</v>
      </c>
      <c r="N41" s="510">
        <v>0</v>
      </c>
      <c r="O41" s="257">
        <v>0</v>
      </c>
    </row>
    <row r="42" spans="1:15" x14ac:dyDescent="0.25">
      <c r="A42" s="254" t="s">
        <v>489</v>
      </c>
      <c r="B42" s="255">
        <v>5.9702259754778862E-5</v>
      </c>
      <c r="C42" s="256">
        <v>4.3456761464799186E-4</v>
      </c>
      <c r="D42" s="259">
        <v>4.3569138829143757E-3</v>
      </c>
      <c r="E42" s="257">
        <v>4.8511837573171467E-3</v>
      </c>
      <c r="F42" s="255">
        <v>0</v>
      </c>
      <c r="G42" s="256">
        <v>0</v>
      </c>
      <c r="H42" s="256">
        <v>0</v>
      </c>
      <c r="I42" s="256">
        <v>0</v>
      </c>
      <c r="J42" s="256">
        <v>0</v>
      </c>
      <c r="K42" s="256">
        <v>0</v>
      </c>
      <c r="L42" s="256">
        <v>0</v>
      </c>
      <c r="M42" s="256">
        <v>0</v>
      </c>
      <c r="N42" s="256">
        <v>0</v>
      </c>
      <c r="O42" s="257">
        <v>0</v>
      </c>
    </row>
    <row r="43" spans="1:15" x14ac:dyDescent="0.25">
      <c r="A43" s="254" t="s">
        <v>490</v>
      </c>
      <c r="B43" s="255">
        <v>5.0510462437192044E-5</v>
      </c>
      <c r="C43" s="256">
        <v>3.7386580875061718E-4</v>
      </c>
      <c r="D43" s="259">
        <v>1.794763383303649E-3</v>
      </c>
      <c r="E43" s="257">
        <v>2.2191396544914577E-3</v>
      </c>
      <c r="F43" s="255">
        <v>0</v>
      </c>
      <c r="G43" s="256">
        <v>0</v>
      </c>
      <c r="H43" s="256">
        <v>0</v>
      </c>
      <c r="I43" s="256">
        <v>0</v>
      </c>
      <c r="J43" s="256">
        <v>0</v>
      </c>
      <c r="K43" s="256">
        <v>0</v>
      </c>
      <c r="L43" s="256">
        <v>0</v>
      </c>
      <c r="M43" s="256">
        <v>0</v>
      </c>
      <c r="N43" s="256">
        <v>0</v>
      </c>
      <c r="O43" s="511">
        <v>0</v>
      </c>
    </row>
    <row r="44" spans="1:15" x14ac:dyDescent="0.25">
      <c r="A44" s="254" t="s">
        <v>491</v>
      </c>
      <c r="B44" s="255">
        <v>9.5284059485350081E-4</v>
      </c>
      <c r="C44" s="256">
        <v>9.4493907656996413E-4</v>
      </c>
      <c r="D44" s="259">
        <v>3.6141216560751737E-4</v>
      </c>
      <c r="E44" s="257">
        <v>2.2591918370309817E-3</v>
      </c>
      <c r="F44" s="255">
        <v>0</v>
      </c>
      <c r="G44" s="256">
        <v>0</v>
      </c>
      <c r="H44" s="256">
        <v>0</v>
      </c>
      <c r="I44" s="256">
        <v>0</v>
      </c>
      <c r="J44" s="256">
        <v>0</v>
      </c>
      <c r="K44" s="256">
        <v>0</v>
      </c>
      <c r="L44" s="256">
        <v>0</v>
      </c>
      <c r="M44" s="256">
        <v>0</v>
      </c>
      <c r="N44" s="256">
        <v>0</v>
      </c>
      <c r="O44" s="257">
        <v>0</v>
      </c>
    </row>
    <row r="45" spans="1:15" x14ac:dyDescent="0.25">
      <c r="A45" s="254" t="s">
        <v>492</v>
      </c>
      <c r="B45" s="255">
        <v>6.8489037416283855E-6</v>
      </c>
      <c r="C45" s="256">
        <v>4.8478282395988354E-5</v>
      </c>
      <c r="D45" s="259">
        <v>2.9814136400814847E-4</v>
      </c>
      <c r="E45" s="257">
        <v>3.5346855014576527E-4</v>
      </c>
      <c r="F45" s="505">
        <v>0</v>
      </c>
      <c r="G45" s="510">
        <v>0</v>
      </c>
      <c r="H45" s="510">
        <v>0</v>
      </c>
      <c r="I45" s="510">
        <v>0</v>
      </c>
      <c r="J45" s="510">
        <v>0</v>
      </c>
      <c r="K45" s="510">
        <v>0</v>
      </c>
      <c r="L45" s="510">
        <v>0</v>
      </c>
      <c r="M45" s="510">
        <v>0</v>
      </c>
      <c r="N45" s="510">
        <v>0</v>
      </c>
      <c r="O45" s="257">
        <v>0</v>
      </c>
    </row>
    <row r="46" spans="1:15" ht="15.75" thickBot="1" x14ac:dyDescent="0.3">
      <c r="A46" s="260" t="s">
        <v>493</v>
      </c>
      <c r="B46" s="261">
        <v>1.5191979162133645E-5</v>
      </c>
      <c r="C46" s="262">
        <v>6.1833923456280305E-5</v>
      </c>
      <c r="D46" s="263">
        <v>2.7689271330962718E-4</v>
      </c>
      <c r="E46" s="264">
        <v>3.5391861592804104E-4</v>
      </c>
      <c r="F46" s="261">
        <v>0</v>
      </c>
      <c r="G46" s="262">
        <v>0</v>
      </c>
      <c r="H46" s="262">
        <v>0</v>
      </c>
      <c r="I46" s="262">
        <v>0</v>
      </c>
      <c r="J46" s="262">
        <v>0</v>
      </c>
      <c r="K46" s="262">
        <v>0</v>
      </c>
      <c r="L46" s="262">
        <v>0</v>
      </c>
      <c r="M46" s="262">
        <v>0</v>
      </c>
      <c r="N46" s="262">
        <v>0</v>
      </c>
      <c r="O46" s="264">
        <v>0</v>
      </c>
    </row>
  </sheetData>
  <mergeCells count="4">
    <mergeCell ref="Q1:Q2"/>
    <mergeCell ref="F18:O18"/>
    <mergeCell ref="B18:E19"/>
    <mergeCell ref="P1:P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4" tint="0.59999389629810485"/>
  </sheetPr>
  <dimension ref="A1:S94"/>
  <sheetViews>
    <sheetView workbookViewId="0">
      <selection sqref="A1:D1"/>
    </sheetView>
  </sheetViews>
  <sheetFormatPr defaultRowHeight="15" x14ac:dyDescent="0.25"/>
  <cols>
    <col min="1" max="1" width="32.140625" bestFit="1" customWidth="1"/>
    <col min="2" max="2" width="34.5703125" bestFit="1" customWidth="1"/>
    <col min="3" max="3" width="32.42578125" bestFit="1" customWidth="1"/>
    <col min="4" max="4" width="10" bestFit="1" customWidth="1"/>
    <col min="5" max="5" width="6.5703125" bestFit="1" customWidth="1"/>
    <col min="6" max="6" width="19" bestFit="1" customWidth="1"/>
    <col min="7" max="7" width="15.7109375" bestFit="1" customWidth="1"/>
    <col min="8" max="8" width="9.85546875" bestFit="1" customWidth="1"/>
    <col min="9" max="9" width="15.42578125" bestFit="1" customWidth="1"/>
    <col min="10" max="10" width="11.7109375" bestFit="1" customWidth="1"/>
    <col min="11" max="11" width="15.140625" bestFit="1" customWidth="1"/>
    <col min="12" max="12" width="19.140625" bestFit="1" customWidth="1"/>
    <col min="13" max="13" width="27.5703125" bestFit="1" customWidth="1"/>
    <col min="14" max="14" width="31.85546875" bestFit="1" customWidth="1"/>
    <col min="15" max="15" width="16.140625" bestFit="1" customWidth="1"/>
    <col min="16" max="16" width="30" bestFit="1" customWidth="1"/>
    <col min="17" max="17" width="30.140625" bestFit="1" customWidth="1"/>
    <col min="18" max="18" width="18" bestFit="1" customWidth="1"/>
    <col min="19" max="19" width="14.28515625" customWidth="1"/>
  </cols>
  <sheetData>
    <row r="1" spans="1:12" ht="19.5" thickBot="1" x14ac:dyDescent="0.35">
      <c r="A1" s="656" t="s">
        <v>271</v>
      </c>
      <c r="B1" s="657"/>
      <c r="C1" s="657"/>
      <c r="D1" s="658"/>
      <c r="E1" s="403"/>
      <c r="F1" s="433" t="s">
        <v>272</v>
      </c>
      <c r="G1" s="659" t="s">
        <v>282</v>
      </c>
      <c r="H1" s="659"/>
      <c r="I1" s="659"/>
      <c r="J1" s="659"/>
      <c r="K1" s="659"/>
      <c r="L1" s="660"/>
    </row>
    <row r="2" spans="1:12" ht="15.75" thickBot="1" x14ac:dyDescent="0.3">
      <c r="A2" s="434" t="s">
        <v>8</v>
      </c>
      <c r="B2" s="435" t="s">
        <v>55</v>
      </c>
      <c r="C2" s="435" t="s">
        <v>9</v>
      </c>
      <c r="D2" s="436" t="s">
        <v>292</v>
      </c>
      <c r="E2" s="403"/>
      <c r="F2" s="434" t="s">
        <v>268</v>
      </c>
      <c r="G2" s="435" t="s">
        <v>277</v>
      </c>
      <c r="H2" s="435" t="s">
        <v>278</v>
      </c>
      <c r="I2" s="435" t="s">
        <v>9</v>
      </c>
      <c r="J2" s="435" t="s">
        <v>221</v>
      </c>
      <c r="K2" s="435" t="s">
        <v>9</v>
      </c>
      <c r="L2" s="436" t="s">
        <v>269</v>
      </c>
    </row>
    <row r="3" spans="1:12" x14ac:dyDescent="0.25">
      <c r="A3" s="79" t="s">
        <v>286</v>
      </c>
      <c r="B3" s="487">
        <v>330</v>
      </c>
      <c r="C3" s="80" t="s">
        <v>287</v>
      </c>
      <c r="D3" s="5"/>
      <c r="E3" s="403"/>
      <c r="F3" s="79" t="s">
        <v>273</v>
      </c>
      <c r="G3" s="119">
        <v>137380</v>
      </c>
      <c r="H3" s="119">
        <v>128450</v>
      </c>
      <c r="I3" s="80" t="s">
        <v>279</v>
      </c>
      <c r="J3" s="121">
        <v>0.83663328410925097</v>
      </c>
      <c r="K3" s="80" t="s">
        <v>222</v>
      </c>
      <c r="L3" s="5"/>
    </row>
    <row r="4" spans="1:12" x14ac:dyDescent="0.25">
      <c r="A4" s="81" t="s">
        <v>606</v>
      </c>
      <c r="B4" s="120">
        <f>UPDAYS*24</f>
        <v>7920</v>
      </c>
      <c r="C4" s="3" t="s">
        <v>288</v>
      </c>
      <c r="D4" s="8"/>
      <c r="E4" s="403"/>
      <c r="F4" s="81" t="s">
        <v>274</v>
      </c>
      <c r="G4" s="120">
        <v>124340</v>
      </c>
      <c r="H4" s="120">
        <v>116090</v>
      </c>
      <c r="I4" s="3" t="s">
        <v>279</v>
      </c>
      <c r="J4" s="122">
        <v>0.74470136656267083</v>
      </c>
      <c r="K4" s="3" t="s">
        <v>222</v>
      </c>
      <c r="L4" s="8"/>
    </row>
    <row r="5" spans="1:12" x14ac:dyDescent="0.25">
      <c r="A5" s="81" t="s">
        <v>284</v>
      </c>
      <c r="B5" s="3" t="s">
        <v>289</v>
      </c>
      <c r="C5" s="3"/>
      <c r="D5" s="8"/>
      <c r="E5" s="403"/>
      <c r="F5" s="81" t="s">
        <v>275</v>
      </c>
      <c r="G5" s="120">
        <v>1089</v>
      </c>
      <c r="H5" s="120">
        <v>983</v>
      </c>
      <c r="I5" s="3" t="s">
        <v>280</v>
      </c>
      <c r="J5" s="122">
        <v>2.1999999999999999E-2</v>
      </c>
      <c r="K5" s="3" t="s">
        <v>283</v>
      </c>
      <c r="L5" s="8"/>
    </row>
    <row r="6" spans="1:12" x14ac:dyDescent="0.25">
      <c r="A6" s="81" t="s">
        <v>285</v>
      </c>
      <c r="B6" s="357">
        <f>VLOOKUP(D6, STREAMDATA, 2, FALSE)</f>
        <v>0.8</v>
      </c>
      <c r="C6" s="3" t="s">
        <v>290</v>
      </c>
      <c r="D6" s="8" t="s">
        <v>291</v>
      </c>
      <c r="E6" s="403"/>
      <c r="F6" s="81" t="s">
        <v>309</v>
      </c>
      <c r="G6" s="120">
        <v>141.88</v>
      </c>
      <c r="H6" s="120">
        <v>119.96</v>
      </c>
      <c r="I6" s="3" t="s">
        <v>281</v>
      </c>
      <c r="J6" s="122"/>
      <c r="K6" s="3" t="s">
        <v>283</v>
      </c>
      <c r="L6" s="8"/>
    </row>
    <row r="7" spans="1:12" s="403" customFormat="1" ht="15.75" thickBot="1" x14ac:dyDescent="0.3">
      <c r="A7" s="485" t="s">
        <v>701</v>
      </c>
      <c r="B7" s="488">
        <v>25</v>
      </c>
      <c r="C7" s="83" t="s">
        <v>702</v>
      </c>
      <c r="D7" s="6"/>
      <c r="F7" s="82" t="s">
        <v>276</v>
      </c>
      <c r="G7" s="123">
        <v>38.67</v>
      </c>
      <c r="H7" s="124"/>
      <c r="I7" s="83" t="s">
        <v>281</v>
      </c>
      <c r="J7" s="125">
        <f>VLOOKUP(L7, STREAMDATA, 2, FALSE)</f>
        <v>0.646481949</v>
      </c>
      <c r="K7" s="83" t="s">
        <v>222</v>
      </c>
      <c r="L7" s="6" t="s">
        <v>509</v>
      </c>
    </row>
    <row r="8" spans="1:12" ht="15.75" thickBot="1" x14ac:dyDescent="0.3">
      <c r="A8" s="403"/>
      <c r="B8" s="403"/>
      <c r="C8" s="403"/>
      <c r="D8" s="403"/>
      <c r="E8" s="403"/>
      <c r="F8" s="403"/>
      <c r="G8" s="403"/>
      <c r="H8" s="403"/>
      <c r="I8" s="403"/>
      <c r="J8" s="403"/>
      <c r="K8" s="403"/>
      <c r="L8" s="403"/>
    </row>
    <row r="9" spans="1:12" ht="19.5" thickBot="1" x14ac:dyDescent="0.35">
      <c r="A9" s="656" t="s">
        <v>267</v>
      </c>
      <c r="B9" s="657"/>
      <c r="C9" s="657"/>
      <c r="D9" s="657"/>
      <c r="E9" s="657"/>
      <c r="F9" s="657"/>
      <c r="G9" s="657"/>
      <c r="H9" s="657"/>
      <c r="I9" s="657"/>
      <c r="J9" s="657"/>
      <c r="K9" s="657"/>
      <c r="L9" s="658"/>
    </row>
    <row r="10" spans="1:12" ht="15.75" thickBot="1" x14ac:dyDescent="0.3">
      <c r="A10" s="434" t="s">
        <v>268</v>
      </c>
      <c r="B10" s="435" t="s">
        <v>294</v>
      </c>
      <c r="C10" s="435" t="s">
        <v>209</v>
      </c>
      <c r="D10" s="435" t="s">
        <v>219</v>
      </c>
      <c r="E10" s="435" t="s">
        <v>9</v>
      </c>
      <c r="F10" s="435" t="s">
        <v>269</v>
      </c>
      <c r="G10" s="435" t="s">
        <v>221</v>
      </c>
      <c r="H10" s="435" t="s">
        <v>9</v>
      </c>
      <c r="I10" s="435" t="s">
        <v>270</v>
      </c>
      <c r="J10" s="435" t="s">
        <v>9</v>
      </c>
      <c r="K10" s="435" t="s">
        <v>295</v>
      </c>
      <c r="L10" s="436" t="s">
        <v>9</v>
      </c>
    </row>
    <row r="11" spans="1:12" x14ac:dyDescent="0.25">
      <c r="A11" s="79" t="s">
        <v>296</v>
      </c>
      <c r="B11" s="80">
        <v>1</v>
      </c>
      <c r="C11" s="80" t="s">
        <v>159</v>
      </c>
      <c r="D11" s="119">
        <f>VLOOKUP(C11, STREAMDATA, 2, FALSE)</f>
        <v>4390.6234700000005</v>
      </c>
      <c r="E11" s="80" t="s">
        <v>220</v>
      </c>
      <c r="F11" s="80" t="s">
        <v>611</v>
      </c>
      <c r="G11" s="121">
        <f>J3</f>
        <v>0.83663328410925097</v>
      </c>
      <c r="H11" s="80" t="s">
        <v>222</v>
      </c>
      <c r="I11" s="214">
        <f>IF(B11=1,(D11/$J3)*OPHOURS/3.78541/1000000,0)</f>
        <v>10.980024591853491</v>
      </c>
      <c r="J11" s="80" t="s">
        <v>300</v>
      </c>
      <c r="K11" s="214">
        <f>IF(B11=1, I11*$G3/$G$4, 0)</f>
        <v>12.131540762657492</v>
      </c>
      <c r="L11" s="5" t="s">
        <v>299</v>
      </c>
    </row>
    <row r="12" spans="1:12" x14ac:dyDescent="0.25">
      <c r="A12" s="81" t="s">
        <v>297</v>
      </c>
      <c r="B12" s="3">
        <v>1</v>
      </c>
      <c r="C12" s="3" t="s">
        <v>160</v>
      </c>
      <c r="D12" s="120">
        <f>VLOOKUP(C12, STREAMDATA, 2, FALSE)</f>
        <v>865.83347000000003</v>
      </c>
      <c r="E12" s="3" t="s">
        <v>220</v>
      </c>
      <c r="F12" s="104" t="s">
        <v>611</v>
      </c>
      <c r="G12" s="122">
        <f>J4</f>
        <v>0.74470136656267083</v>
      </c>
      <c r="H12" s="3" t="s">
        <v>222</v>
      </c>
      <c r="I12" s="157">
        <f>IF(B12=1,(D12/$J4)*OPHOURS/3.78541/1000000,0)</f>
        <v>2.4325651232351899</v>
      </c>
      <c r="J12" s="3" t="s">
        <v>300</v>
      </c>
      <c r="K12" s="157">
        <f t="shared" ref="K12" si="0">IF(B12=1, I12*$G4/$G$4, 0)</f>
        <v>2.4325651232351899</v>
      </c>
      <c r="L12" s="8" t="s">
        <v>299</v>
      </c>
    </row>
    <row r="13" spans="1:12" ht="15.75" thickBot="1" x14ac:dyDescent="0.3">
      <c r="A13" s="350" t="s">
        <v>298</v>
      </c>
      <c r="B13" s="351">
        <v>0</v>
      </c>
      <c r="C13" s="351" t="s">
        <v>174</v>
      </c>
      <c r="D13" s="352">
        <f>VLOOKUP(C13, STREAMDATA, 2, FALSE)</f>
        <v>6673.7380800000001</v>
      </c>
      <c r="E13" s="351" t="s">
        <v>220</v>
      </c>
      <c r="F13" s="351" t="s">
        <v>611</v>
      </c>
      <c r="G13" s="353">
        <f>J7</f>
        <v>0.646481949</v>
      </c>
      <c r="H13" s="351" t="s">
        <v>222</v>
      </c>
      <c r="I13" s="354">
        <f>IF(B13=1,(D13/$J7)*OPHOURS/3.78541/1000000,0)</f>
        <v>0</v>
      </c>
      <c r="J13" s="351" t="s">
        <v>300</v>
      </c>
      <c r="K13" s="356">
        <f>IF(B13=1, I13*(947.82*$G$7*$J$7*3.79)/$G$4, 0)</f>
        <v>0</v>
      </c>
      <c r="L13" s="355" t="s">
        <v>299</v>
      </c>
    </row>
    <row r="14" spans="1:12" x14ac:dyDescent="0.25">
      <c r="A14" s="437" t="s">
        <v>301</v>
      </c>
      <c r="B14" s="438"/>
      <c r="C14" s="438"/>
      <c r="D14" s="445">
        <f>SUM(D11:D13)</f>
        <v>11930.195019999999</v>
      </c>
      <c r="E14" s="438" t="s">
        <v>220</v>
      </c>
      <c r="F14" s="438"/>
      <c r="G14" s="438"/>
      <c r="H14" s="438"/>
      <c r="I14" s="439">
        <f>SUM(I11:I13)</f>
        <v>13.41258971508868</v>
      </c>
      <c r="J14" s="438" t="s">
        <v>300</v>
      </c>
      <c r="K14" s="439">
        <f>SUM(K11:K13)</f>
        <v>14.564105885892682</v>
      </c>
      <c r="L14" s="440" t="s">
        <v>299</v>
      </c>
    </row>
    <row r="15" spans="1:12" s="403" customFormat="1" x14ac:dyDescent="0.25">
      <c r="A15" s="450" t="s">
        <v>683</v>
      </c>
      <c r="B15" s="451"/>
      <c r="C15" s="451"/>
      <c r="D15" s="452"/>
      <c r="E15" s="451"/>
      <c r="F15" s="451"/>
      <c r="G15" s="451"/>
      <c r="H15" s="451"/>
      <c r="I15" s="453"/>
      <c r="J15" s="451"/>
      <c r="K15" s="455">
        <f>K14*1000000*G4*0.001055/OPHOURS</f>
        <v>241224.8076734533</v>
      </c>
      <c r="L15" s="454" t="s">
        <v>681</v>
      </c>
    </row>
    <row r="16" spans="1:12" ht="15.75" thickBot="1" x14ac:dyDescent="0.3">
      <c r="A16" s="441" t="s">
        <v>302</v>
      </c>
      <c r="B16" s="442"/>
      <c r="C16" s="442"/>
      <c r="D16" s="442"/>
      <c r="E16" s="442"/>
      <c r="F16" s="442"/>
      <c r="G16" s="442"/>
      <c r="H16" s="442"/>
      <c r="I16" s="442"/>
      <c r="J16" s="442"/>
      <c r="K16" s="449">
        <f>FUELGGE*(1000000/OPHOURS)/(FEEDAFDW/1000)</f>
        <v>124.63604346458487</v>
      </c>
      <c r="L16" s="443" t="s">
        <v>682</v>
      </c>
    </row>
    <row r="17" spans="1:18" s="403" customFormat="1" ht="15.75" thickBot="1" x14ac:dyDescent="0.3"/>
    <row r="18" spans="1:18" ht="19.5" thickBot="1" x14ac:dyDescent="0.35">
      <c r="I18" s="656" t="s">
        <v>724</v>
      </c>
      <c r="J18" s="657"/>
      <c r="K18" s="657"/>
      <c r="L18" s="657"/>
      <c r="M18" s="657"/>
      <c r="N18" s="657"/>
      <c r="O18" s="657"/>
      <c r="P18" s="657"/>
      <c r="Q18" s="657"/>
      <c r="R18" s="658"/>
    </row>
    <row r="19" spans="1:18" ht="19.5" thickBot="1" x14ac:dyDescent="0.35">
      <c r="A19" s="656" t="s">
        <v>700</v>
      </c>
      <c r="B19" s="657"/>
      <c r="C19" s="657"/>
      <c r="D19" s="657"/>
      <c r="E19" s="657"/>
      <c r="F19" s="657"/>
      <c r="G19" s="657"/>
      <c r="H19" s="658"/>
      <c r="I19" s="473" t="s">
        <v>415</v>
      </c>
      <c r="J19" s="464" t="s">
        <v>416</v>
      </c>
      <c r="K19" s="464" t="s">
        <v>417</v>
      </c>
      <c r="L19" s="464" t="s">
        <v>418</v>
      </c>
      <c r="M19" s="464" t="s">
        <v>419</v>
      </c>
      <c r="N19" s="464" t="s">
        <v>420</v>
      </c>
      <c r="O19" s="464" t="s">
        <v>421</v>
      </c>
      <c r="P19" s="464" t="s">
        <v>422</v>
      </c>
      <c r="Q19" s="464" t="s">
        <v>423</v>
      </c>
      <c r="R19" s="465" t="s">
        <v>424</v>
      </c>
    </row>
    <row r="20" spans="1:18" ht="18.75" thickBot="1" x14ac:dyDescent="0.4">
      <c r="A20" s="434" t="s">
        <v>680</v>
      </c>
      <c r="B20" s="435" t="s">
        <v>304</v>
      </c>
      <c r="C20" s="435" t="s">
        <v>209</v>
      </c>
      <c r="D20" s="435" t="s">
        <v>55</v>
      </c>
      <c r="E20" s="435" t="s">
        <v>9</v>
      </c>
      <c r="F20" s="435" t="s">
        <v>684</v>
      </c>
      <c r="G20" s="435" t="s">
        <v>306</v>
      </c>
      <c r="H20" s="436" t="s">
        <v>9</v>
      </c>
      <c r="I20" s="474" t="s">
        <v>431</v>
      </c>
      <c r="J20" s="467" t="s">
        <v>425</v>
      </c>
      <c r="K20" s="467" t="s">
        <v>426</v>
      </c>
      <c r="L20" s="467" t="s">
        <v>432</v>
      </c>
      <c r="M20" s="467" t="s">
        <v>427</v>
      </c>
      <c r="N20" s="467" t="s">
        <v>427</v>
      </c>
      <c r="O20" s="467" t="s">
        <v>428</v>
      </c>
      <c r="P20" s="467" t="s">
        <v>433</v>
      </c>
      <c r="Q20" s="469" t="s">
        <v>429</v>
      </c>
      <c r="R20" s="470" t="s">
        <v>430</v>
      </c>
    </row>
    <row r="21" spans="1:18" ht="15.75" x14ac:dyDescent="0.25">
      <c r="A21" s="446"/>
      <c r="B21" s="447" t="s">
        <v>310</v>
      </c>
      <c r="C21" s="447"/>
      <c r="D21" s="447"/>
      <c r="E21" s="447"/>
      <c r="F21" s="447"/>
      <c r="G21" s="447"/>
      <c r="H21" s="448"/>
      <c r="I21" s="79"/>
      <c r="J21" s="80"/>
      <c r="K21" s="80"/>
      <c r="L21" s="80"/>
      <c r="M21" s="80"/>
      <c r="N21" s="80"/>
      <c r="O21" s="80"/>
      <c r="P21" s="80"/>
      <c r="Q21" s="80"/>
      <c r="R21" s="5"/>
    </row>
    <row r="22" spans="1:18" x14ac:dyDescent="0.25">
      <c r="A22" s="81">
        <v>1</v>
      </c>
      <c r="B22" s="3" t="s">
        <v>612</v>
      </c>
      <c r="C22" s="3" t="s">
        <v>539</v>
      </c>
      <c r="D22" s="154">
        <f>A22*VLOOKUP(C22, STREAMDATA, 2, FALSE)</f>
        <v>14754.177100000001</v>
      </c>
      <c r="E22" s="3" t="s">
        <v>220</v>
      </c>
      <c r="F22" s="3" t="s">
        <v>441</v>
      </c>
      <c r="G22" s="154">
        <f>D22</f>
        <v>14754.177100000001</v>
      </c>
      <c r="H22" s="8" t="s">
        <v>220</v>
      </c>
      <c r="I22" s="476">
        <v>0</v>
      </c>
      <c r="J22" s="477">
        <v>0</v>
      </c>
      <c r="K22" s="477">
        <v>0</v>
      </c>
      <c r="L22" s="477">
        <v>0</v>
      </c>
      <c r="M22" s="477">
        <v>0</v>
      </c>
      <c r="N22" s="477">
        <v>0</v>
      </c>
      <c r="O22" s="477">
        <v>0</v>
      </c>
      <c r="P22" s="477">
        <v>0</v>
      </c>
      <c r="Q22" s="477">
        <v>0</v>
      </c>
      <c r="R22" s="478">
        <v>0</v>
      </c>
    </row>
    <row r="23" spans="1:18" x14ac:dyDescent="0.25">
      <c r="A23" s="81">
        <f>OPEX!A20</f>
        <v>1</v>
      </c>
      <c r="B23" s="3" t="s">
        <v>309</v>
      </c>
      <c r="C23" s="3" t="s">
        <v>193</v>
      </c>
      <c r="D23" s="154">
        <f>A23*VLOOKUP(C23, STREAMDATA, 2, FALSE)</f>
        <v>286.97073699999999</v>
      </c>
      <c r="E23" s="3" t="s">
        <v>220</v>
      </c>
      <c r="F23" s="3" t="s">
        <v>441</v>
      </c>
      <c r="G23" s="154">
        <f>D23</f>
        <v>286.97073699999999</v>
      </c>
      <c r="H23" s="8" t="s">
        <v>220</v>
      </c>
      <c r="I23" s="476">
        <f>$G23*LifeCycleInventory!F3/FUELMJPROD</f>
        <v>1.0349870048522189E-5</v>
      </c>
      <c r="J23" s="477">
        <f>$G23*LifeCycleInventory!G3/FUELMJPROD</f>
        <v>2.4387136598624935E-2</v>
      </c>
      <c r="K23" s="477">
        <f>$G23*LifeCycleInventory!H3/FUELMJPROD</f>
        <v>1.1423157267813778E-7</v>
      </c>
      <c r="L23" s="477">
        <f>$G23*LifeCycleInventory!I3/FUELMJPROD</f>
        <v>1.443033605615795E-2</v>
      </c>
      <c r="M23" s="477">
        <f>$G23*LifeCycleInventory!J3/FUELMJPROD</f>
        <v>2.0538543845139234E-11</v>
      </c>
      <c r="N23" s="477">
        <f>$G23*LifeCycleInventory!K3/FUELMJPROD</f>
        <v>1.6313679305723058E-9</v>
      </c>
      <c r="O23" s="477">
        <f>$G23*LifeCycleInventory!L3/FUELMJPROD</f>
        <v>3.5570243040323391E-9</v>
      </c>
      <c r="P23" s="477">
        <f>$G23*LifeCycleInventory!M3/FUELMJPROD</f>
        <v>2.506750422154429E-4</v>
      </c>
      <c r="Q23" s="477">
        <f>$G23*LifeCycleInventory!N3/FUELMJPROD</f>
        <v>0.22165555313169277</v>
      </c>
      <c r="R23" s="478">
        <f>$G23*LifeCycleInventory!O3/FUELMJPROD</f>
        <v>2.379280470924641E-6</v>
      </c>
    </row>
    <row r="24" spans="1:18" x14ac:dyDescent="0.25">
      <c r="A24" s="81">
        <f>OPEX!A21</f>
        <v>1</v>
      </c>
      <c r="B24" s="3" t="s">
        <v>309</v>
      </c>
      <c r="C24" s="3" t="s">
        <v>194</v>
      </c>
      <c r="D24" s="154">
        <f>A24*VLOOKUP(C24, STREAMDATA, 2, FALSE)</f>
        <v>11.5652109</v>
      </c>
      <c r="E24" s="3" t="s">
        <v>220</v>
      </c>
      <c r="F24" s="3" t="s">
        <v>441</v>
      </c>
      <c r="G24" s="154">
        <f>D24</f>
        <v>11.5652109</v>
      </c>
      <c r="H24" s="8" t="s">
        <v>220</v>
      </c>
      <c r="I24" s="476">
        <f>$G24*LifeCycleInventory!F3/FUELMJPROD</f>
        <v>4.1711022925223333E-7</v>
      </c>
      <c r="J24" s="477">
        <f>$G24*LifeCycleInventory!G3/FUELMJPROD</f>
        <v>9.8282626639456289E-4</v>
      </c>
      <c r="K24" s="477">
        <f>$G24*LifeCycleInventory!H3/FUELMJPROD</f>
        <v>4.6036478955042077E-9</v>
      </c>
      <c r="L24" s="477">
        <f>$G24*LifeCycleInventory!I3/FUELMJPROD</f>
        <v>5.8155713572753925E-4</v>
      </c>
      <c r="M24" s="477">
        <f>$G24*LifeCycleInventory!J3/FUELMJPROD</f>
        <v>8.2772408654312446E-13</v>
      </c>
      <c r="N24" s="477">
        <f>$G24*LifeCycleInventory!K3/FUELMJPROD</f>
        <v>6.5745777321418234E-11</v>
      </c>
      <c r="O24" s="477">
        <f>$G24*LifeCycleInventory!L3/FUELMJPROD</f>
        <v>1.4335167649013539E-10</v>
      </c>
      <c r="P24" s="477">
        <f>$G24*LifeCycleInventory!M3/FUELMJPROD</f>
        <v>1.0102457696193606E-5</v>
      </c>
      <c r="Q24" s="477">
        <f>$G24*LifeCycleInventory!N3/FUELMJPROD</f>
        <v>8.9329429401862059E-3</v>
      </c>
      <c r="R24" s="478">
        <f>$G24*LifeCycleInventory!O3/FUELMJPROD</f>
        <v>9.5887409023501927E-8</v>
      </c>
    </row>
    <row r="25" spans="1:18" ht="15.75" thickBot="1" x14ac:dyDescent="0.3">
      <c r="A25" s="395" t="s">
        <v>316</v>
      </c>
      <c r="B25" s="396"/>
      <c r="C25" s="396"/>
      <c r="D25" s="396"/>
      <c r="E25" s="396"/>
      <c r="F25" s="396"/>
      <c r="G25" s="396"/>
      <c r="H25" s="397"/>
      <c r="I25" s="476"/>
      <c r="J25" s="477"/>
      <c r="K25" s="477"/>
      <c r="L25" s="477"/>
      <c r="M25" s="477"/>
      <c r="N25" s="477"/>
      <c r="O25" s="477"/>
      <c r="P25" s="477"/>
      <c r="Q25" s="477"/>
      <c r="R25" s="478"/>
    </row>
    <row r="26" spans="1:18" ht="15.75" x14ac:dyDescent="0.25">
      <c r="A26" s="446"/>
      <c r="B26" s="447" t="s">
        <v>312</v>
      </c>
      <c r="C26" s="447"/>
      <c r="D26" s="447"/>
      <c r="E26" s="447"/>
      <c r="F26" s="447"/>
      <c r="G26" s="447"/>
      <c r="H26" s="448"/>
      <c r="I26" s="476"/>
      <c r="J26" s="477"/>
      <c r="K26" s="477"/>
      <c r="L26" s="477"/>
      <c r="M26" s="477"/>
      <c r="N26" s="477"/>
      <c r="O26" s="477"/>
      <c r="P26" s="477"/>
      <c r="Q26" s="477"/>
      <c r="R26" s="478"/>
    </row>
    <row r="27" spans="1:18" x14ac:dyDescent="0.25">
      <c r="A27" s="81">
        <f>OPEX!A25</f>
        <v>0</v>
      </c>
      <c r="B27" s="3" t="s">
        <v>313</v>
      </c>
      <c r="C27" s="3" t="s">
        <v>163</v>
      </c>
      <c r="D27" s="154">
        <f>A27*VLOOKUP(C27, STREAMDATA, 2, FALSE)</f>
        <v>0</v>
      </c>
      <c r="E27" s="3" t="s">
        <v>220</v>
      </c>
      <c r="F27" s="3" t="s">
        <v>441</v>
      </c>
      <c r="G27" s="154">
        <f>D27</f>
        <v>0</v>
      </c>
      <c r="H27" s="8" t="s">
        <v>220</v>
      </c>
      <c r="I27" s="476">
        <v>0</v>
      </c>
      <c r="J27" s="477">
        <v>0</v>
      </c>
      <c r="K27" s="477">
        <v>0</v>
      </c>
      <c r="L27" s="477">
        <v>0</v>
      </c>
      <c r="M27" s="477">
        <v>0</v>
      </c>
      <c r="N27" s="477">
        <v>0</v>
      </c>
      <c r="O27" s="477">
        <v>0</v>
      </c>
      <c r="P27" s="477">
        <v>0</v>
      </c>
      <c r="Q27" s="477">
        <v>0</v>
      </c>
      <c r="R27" s="478">
        <v>0</v>
      </c>
    </row>
    <row r="28" spans="1:18" ht="15.75" thickBot="1" x14ac:dyDescent="0.3">
      <c r="A28" s="395" t="s">
        <v>355</v>
      </c>
      <c r="B28" s="396"/>
      <c r="C28" s="396"/>
      <c r="D28" s="396"/>
      <c r="E28" s="396"/>
      <c r="F28" s="396"/>
      <c r="G28" s="396"/>
      <c r="H28" s="397"/>
      <c r="I28" s="476"/>
      <c r="J28" s="477"/>
      <c r="K28" s="477"/>
      <c r="L28" s="477"/>
      <c r="M28" s="477"/>
      <c r="N28" s="477"/>
      <c r="O28" s="477"/>
      <c r="P28" s="477"/>
      <c r="Q28" s="477"/>
      <c r="R28" s="478"/>
    </row>
    <row r="29" spans="1:18" ht="15.75" x14ac:dyDescent="0.25">
      <c r="A29" s="446"/>
      <c r="B29" s="447" t="s">
        <v>315</v>
      </c>
      <c r="C29" s="447"/>
      <c r="D29" s="447"/>
      <c r="E29" s="447"/>
      <c r="F29" s="447"/>
      <c r="G29" s="447"/>
      <c r="H29" s="448"/>
      <c r="I29" s="476"/>
      <c r="J29" s="477"/>
      <c r="K29" s="477"/>
      <c r="L29" s="477"/>
      <c r="M29" s="477"/>
      <c r="N29" s="477"/>
      <c r="O29" s="477"/>
      <c r="P29" s="477"/>
      <c r="Q29" s="477"/>
      <c r="R29" s="478"/>
    </row>
    <row r="30" spans="1:18" ht="17.25" x14ac:dyDescent="0.25">
      <c r="A30" s="81">
        <f>OPEX!A29</f>
        <v>1</v>
      </c>
      <c r="B30" s="3" t="s">
        <v>275</v>
      </c>
      <c r="C30" s="3" t="s">
        <v>195</v>
      </c>
      <c r="D30" s="154">
        <f>A30*VLOOKUP(C30, STREAMDATA, 2, FALSE)</f>
        <v>27.234051999999998</v>
      </c>
      <c r="E30" s="3" t="s">
        <v>220</v>
      </c>
      <c r="F30" s="104" t="s">
        <v>446</v>
      </c>
      <c r="G30" s="154">
        <f>D30*0.0283/$J$5</f>
        <v>35.032894163636364</v>
      </c>
      <c r="H30" s="8" t="s">
        <v>688</v>
      </c>
      <c r="I30" s="476">
        <f>$G30*LifeCycleInventory!F4/FUELMJPROD</f>
        <v>2.3079817296369224E-7</v>
      </c>
      <c r="J30" s="477">
        <f>$G30*LifeCycleInventory!G4/FUELMJPROD</f>
        <v>1.214039083671258E-4</v>
      </c>
      <c r="K30" s="477">
        <f>$G30*LifeCycleInventory!H4/FUELMJPROD</f>
        <v>2.6404691648953579E-8</v>
      </c>
      <c r="L30" s="477">
        <f>$G30*LifeCycleInventory!I4/FUELMJPROD</f>
        <v>3.6598937867858019E-5</v>
      </c>
      <c r="M30" s="477">
        <f>$G30*LifeCycleInventory!J4/FUELMJPROD</f>
        <v>6.1566832662912271E-13</v>
      </c>
      <c r="N30" s="477">
        <f>$G30*LifeCycleInventory!K4/FUELMJPROD</f>
        <v>2.5753066699225687E-12</v>
      </c>
      <c r="O30" s="477">
        <f>$G30*LifeCycleInventory!L4/FUELMJPROD</f>
        <v>1.2817804961400084E-12</v>
      </c>
      <c r="P30" s="477">
        <f>$G30*LifeCycleInventory!M4/FUELMJPROD</f>
        <v>8.4181443780591171E-7</v>
      </c>
      <c r="Q30" s="477">
        <f>$G30*LifeCycleInventory!N4/FUELMJPROD</f>
        <v>7.8974542686300079E-4</v>
      </c>
      <c r="R30" s="478">
        <f>$G30*LifeCycleInventory!O4/FUELMJPROD</f>
        <v>1.8630090527663543E-8</v>
      </c>
    </row>
    <row r="31" spans="1:18" ht="17.25" x14ac:dyDescent="0.25">
      <c r="A31" s="81">
        <f>OPEX!A30</f>
        <v>0</v>
      </c>
      <c r="B31" s="3" t="s">
        <v>275</v>
      </c>
      <c r="C31" s="3" t="s">
        <v>196</v>
      </c>
      <c r="D31" s="154">
        <f>A31*VLOOKUP(C31, STREAMDATA, 2, FALSE)</f>
        <v>0</v>
      </c>
      <c r="E31" s="3" t="s">
        <v>220</v>
      </c>
      <c r="F31" s="104" t="s">
        <v>446</v>
      </c>
      <c r="G31" s="154">
        <f>D31*0.0283/$J$5</f>
        <v>0</v>
      </c>
      <c r="H31" s="8" t="s">
        <v>688</v>
      </c>
      <c r="I31" s="476">
        <f>$G31*LifeCycleInventory!F4/FUELMJPROD</f>
        <v>0</v>
      </c>
      <c r="J31" s="477">
        <f>$G31*LifeCycleInventory!G4/FUELMJPROD</f>
        <v>0</v>
      </c>
      <c r="K31" s="477">
        <f>$G31*LifeCycleInventory!H4/FUELMJPROD</f>
        <v>0</v>
      </c>
      <c r="L31" s="477">
        <f>$G31*LifeCycleInventory!I4/FUELMJPROD</f>
        <v>0</v>
      </c>
      <c r="M31" s="477">
        <f>$G31*LifeCycleInventory!J4/FUELMJPROD</f>
        <v>0</v>
      </c>
      <c r="N31" s="477">
        <f>$G31*LifeCycleInventory!K4/FUELMJPROD</f>
        <v>0</v>
      </c>
      <c r="O31" s="477">
        <f>$G31*LifeCycleInventory!L4/FUELMJPROD</f>
        <v>0</v>
      </c>
      <c r="P31" s="477">
        <f>$G31*LifeCycleInventory!M4/FUELMJPROD</f>
        <v>0</v>
      </c>
      <c r="Q31" s="477">
        <f>$G31*LifeCycleInventory!N4/FUELMJPROD</f>
        <v>0</v>
      </c>
      <c r="R31" s="478">
        <f>$G31*LifeCycleInventory!O4/FUELMJPROD</f>
        <v>0</v>
      </c>
    </row>
    <row r="32" spans="1:18" x14ac:dyDescent="0.25">
      <c r="A32" s="81">
        <f>OPEX!A31</f>
        <v>1</v>
      </c>
      <c r="B32" s="3" t="s">
        <v>308</v>
      </c>
      <c r="C32" s="3" t="s">
        <v>784</v>
      </c>
      <c r="D32" s="154">
        <f>A32*VLOOKUP(C32, STREAMDATA, 2, FALSE)</f>
        <v>7793.5420199999999</v>
      </c>
      <c r="E32" s="3" t="s">
        <v>220</v>
      </c>
      <c r="F32" s="3" t="s">
        <v>441</v>
      </c>
      <c r="G32" s="154">
        <f>D32</f>
        <v>7793.5420199999999</v>
      </c>
      <c r="H32" s="8" t="s">
        <v>220</v>
      </c>
      <c r="I32" s="476">
        <v>0</v>
      </c>
      <c r="J32" s="477">
        <v>0</v>
      </c>
      <c r="K32" s="477">
        <v>0</v>
      </c>
      <c r="L32" s="477">
        <v>0</v>
      </c>
      <c r="M32" s="477">
        <v>0</v>
      </c>
      <c r="N32" s="477">
        <v>0</v>
      </c>
      <c r="O32" s="477">
        <v>0</v>
      </c>
      <c r="P32" s="477">
        <v>0</v>
      </c>
      <c r="Q32" s="477">
        <v>0</v>
      </c>
      <c r="R32" s="478">
        <v>0</v>
      </c>
    </row>
    <row r="33" spans="1:18" x14ac:dyDescent="0.25">
      <c r="A33" s="81">
        <f>OPEX!A32</f>
        <v>1</v>
      </c>
      <c r="B33" s="3" t="s">
        <v>640</v>
      </c>
      <c r="C33" s="3" t="s">
        <v>172</v>
      </c>
      <c r="D33" s="154">
        <f>A33*VLOOKUP(C33, STREAMDATA, 2, FALSE)</f>
        <v>1503.47072</v>
      </c>
      <c r="E33" s="3" t="s">
        <v>613</v>
      </c>
      <c r="F33" s="3" t="s">
        <v>443</v>
      </c>
      <c r="G33" s="154">
        <f>D33</f>
        <v>1503.47072</v>
      </c>
      <c r="H33" s="475" t="s">
        <v>613</v>
      </c>
      <c r="I33" s="476">
        <f>$G33*LifeCycleInventory!F8/FUELMJPROD</f>
        <v>2.655823916212321E-5</v>
      </c>
      <c r="J33" s="477">
        <f>$G33*LifeCycleInventory!G8/FUELMJPROD</f>
        <v>1.823803193530911E-2</v>
      </c>
      <c r="K33" s="477">
        <f>$G33*LifeCycleInventory!H8/FUELMJPROD</f>
        <v>2.3240240656902986E-5</v>
      </c>
      <c r="L33" s="477">
        <f>$G33*LifeCycleInventory!I8/FUELMJPROD</f>
        <v>4.0608905992778272E-3</v>
      </c>
      <c r="M33" s="477">
        <f>$G33*LifeCycleInventory!J8/FUELMJPROD</f>
        <v>2.9120432524034205E-10</v>
      </c>
      <c r="N33" s="477">
        <f>$G33*LifeCycleInventory!K8/FUELMJPROD</f>
        <v>8.0969988439462106E-10</v>
      </c>
      <c r="O33" s="477">
        <f>$G33*LifeCycleInventory!L8/FUELMJPROD</f>
        <v>2.1123663860618592E-10</v>
      </c>
      <c r="P33" s="477">
        <f>$G33*LifeCycleInventory!M8/FUELMJPROD</f>
        <v>2.521904637349394E-4</v>
      </c>
      <c r="Q33" s="477">
        <f>$G33*LifeCycleInventory!N8/FUELMJPROD</f>
        <v>2.8017160350808042E-3</v>
      </c>
      <c r="R33" s="478">
        <f>$G33*LifeCycleInventory!O8/FUELMJPROD</f>
        <v>6.8850085430298803E-6</v>
      </c>
    </row>
    <row r="34" spans="1:18" ht="15.75" thickBot="1" x14ac:dyDescent="0.3">
      <c r="A34" s="395" t="s">
        <v>356</v>
      </c>
      <c r="B34" s="396"/>
      <c r="C34" s="396"/>
      <c r="D34" s="396"/>
      <c r="E34" s="396"/>
      <c r="F34" s="396"/>
      <c r="G34" s="396"/>
      <c r="H34" s="397"/>
      <c r="I34" s="476"/>
      <c r="J34" s="477"/>
      <c r="K34" s="477"/>
      <c r="L34" s="477"/>
      <c r="M34" s="477"/>
      <c r="N34" s="477"/>
      <c r="O34" s="477"/>
      <c r="P34" s="477"/>
      <c r="Q34" s="477"/>
      <c r="R34" s="478"/>
    </row>
    <row r="35" spans="1:18" ht="15.75" x14ac:dyDescent="0.25">
      <c r="A35" s="446"/>
      <c r="B35" s="447" t="s">
        <v>318</v>
      </c>
      <c r="C35" s="447"/>
      <c r="D35" s="447"/>
      <c r="E35" s="447"/>
      <c r="F35" s="447"/>
      <c r="G35" s="447"/>
      <c r="H35" s="448"/>
      <c r="I35" s="476"/>
      <c r="J35" s="477"/>
      <c r="K35" s="477"/>
      <c r="L35" s="477"/>
      <c r="M35" s="477"/>
      <c r="N35" s="477"/>
      <c r="O35" s="477"/>
      <c r="P35" s="477"/>
      <c r="Q35" s="477"/>
      <c r="R35" s="478"/>
    </row>
    <row r="36" spans="1:18" x14ac:dyDescent="0.25">
      <c r="A36" s="81">
        <f>OPEX!A36</f>
        <v>0</v>
      </c>
      <c r="B36" s="3" t="s">
        <v>319</v>
      </c>
      <c r="C36" s="3"/>
      <c r="D36" s="154"/>
      <c r="E36" s="3"/>
      <c r="F36" s="3" t="s">
        <v>443</v>
      </c>
      <c r="G36" s="154">
        <f>D36</f>
        <v>0</v>
      </c>
      <c r="H36" s="475" t="s">
        <v>613</v>
      </c>
      <c r="I36" s="476">
        <f>-$G36*LifeCycleInventory!F8/FUELMJPROD</f>
        <v>0</v>
      </c>
      <c r="J36" s="477">
        <f>-$G36*LifeCycleInventory!G8/FUELMJPROD</f>
        <v>0</v>
      </c>
      <c r="K36" s="477">
        <f>-$G36*LifeCycleInventory!H8/FUELMJPROD</f>
        <v>0</v>
      </c>
      <c r="L36" s="477">
        <f>-$G36*LifeCycleInventory!I8/FUELMJPROD</f>
        <v>0</v>
      </c>
      <c r="M36" s="477">
        <f>-$G36*LifeCycleInventory!J8/FUELMJPROD</f>
        <v>0</v>
      </c>
      <c r="N36" s="477">
        <f>-$G36*LifeCycleInventory!K8/FUELMJPROD</f>
        <v>0</v>
      </c>
      <c r="O36" s="477">
        <f>-$G36*LifeCycleInventory!L8/FUELMJPROD</f>
        <v>0</v>
      </c>
      <c r="P36" s="477">
        <f>-$G36*LifeCycleInventory!M8/FUELMJPROD</f>
        <v>0</v>
      </c>
      <c r="Q36" s="477">
        <f>-$G36*LifeCycleInventory!N8/FUELMJPROD</f>
        <v>0</v>
      </c>
      <c r="R36" s="478">
        <f>-$G36*LifeCycleInventory!O8/FUELMJPROD</f>
        <v>0</v>
      </c>
    </row>
    <row r="37" spans="1:18" ht="18" x14ac:dyDescent="0.35">
      <c r="A37" s="81">
        <f>OPEX!A37</f>
        <v>0</v>
      </c>
      <c r="B37" s="3" t="s">
        <v>320</v>
      </c>
      <c r="C37" s="3"/>
      <c r="D37" s="154"/>
      <c r="E37" s="3"/>
      <c r="F37" s="3" t="s">
        <v>441</v>
      </c>
      <c r="G37" s="154">
        <f>E37</f>
        <v>0</v>
      </c>
      <c r="H37" s="8" t="s">
        <v>220</v>
      </c>
      <c r="I37" s="476">
        <f>-$G37*LifeCycleInventory!F9/FUELMJPROD</f>
        <v>0</v>
      </c>
      <c r="J37" s="477">
        <f>-$G37*LifeCycleInventory!G9/FUELMJPROD</f>
        <v>0</v>
      </c>
      <c r="K37" s="477">
        <f>-$G37*LifeCycleInventory!H9/FUELMJPROD</f>
        <v>0</v>
      </c>
      <c r="L37" s="477">
        <f>-$G37*LifeCycleInventory!I9/FUELMJPROD</f>
        <v>0</v>
      </c>
      <c r="M37" s="477">
        <f>-$G37*LifeCycleInventory!J9/FUELMJPROD</f>
        <v>0</v>
      </c>
      <c r="N37" s="477">
        <f>-$G37*LifeCycleInventory!K9/FUELMJPROD</f>
        <v>0</v>
      </c>
      <c r="O37" s="477">
        <f>-$G37*LifeCycleInventory!L9/FUELMJPROD</f>
        <v>0</v>
      </c>
      <c r="P37" s="477">
        <f>-$G37*LifeCycleInventory!M9/FUELMJPROD</f>
        <v>0</v>
      </c>
      <c r="Q37" s="477">
        <f>-$G37*LifeCycleInventory!N9/FUELMJPROD</f>
        <v>0</v>
      </c>
      <c r="R37" s="478">
        <f>-$G37*LifeCycleInventory!O9/FUELMJPROD</f>
        <v>0</v>
      </c>
    </row>
    <row r="38" spans="1:18" ht="18" x14ac:dyDescent="0.35">
      <c r="A38" s="398">
        <f>OPEX!A38</f>
        <v>0.6</v>
      </c>
      <c r="B38" s="3" t="s">
        <v>321</v>
      </c>
      <c r="C38" s="3" t="s">
        <v>615</v>
      </c>
      <c r="D38" s="541">
        <f>A38*VLOOKUP(C38, STREAMDATA, 2, FALSE)</f>
        <v>635.14694399999996</v>
      </c>
      <c r="E38" s="3" t="s">
        <v>220</v>
      </c>
      <c r="F38" s="3" t="s">
        <v>685</v>
      </c>
      <c r="G38" s="154">
        <f>D38</f>
        <v>635.14694399999996</v>
      </c>
      <c r="H38" s="8" t="s">
        <v>689</v>
      </c>
      <c r="I38" s="476">
        <f>-$G38*LifeCycleInventory!F6/FUELMJPROD</f>
        <v>-1.1808725081145869E-5</v>
      </c>
      <c r="J38" s="477">
        <f>-$G38*LifeCycleInventory!G6/FUELMJPROD</f>
        <v>-1.0414222804527853E-2</v>
      </c>
      <c r="K38" s="477">
        <f>-$G38*LifeCycleInventory!H6/FUELMJPROD</f>
        <v>-4.5178008792788311E-6</v>
      </c>
      <c r="L38" s="477">
        <f>-$G38*LifeCycleInventory!I6/FUELMJPROD</f>
        <v>-5.0102750619030606E-3</v>
      </c>
      <c r="M38" s="477">
        <f>-$G38*LifeCycleInventory!J6/FUELMJPROD</f>
        <v>-7.642339309930344E-11</v>
      </c>
      <c r="N38" s="477">
        <f>-$G38*LifeCycleInventory!K6/FUELMJPROD</f>
        <v>-4.6801241556981663E-10</v>
      </c>
      <c r="O38" s="477">
        <f>-$G38*LifeCycleInventory!L6/FUELMJPROD</f>
        <v>-9.2288172592529246E-10</v>
      </c>
      <c r="P38" s="477">
        <f>-$G38*LifeCycleInventory!M6/FUELMJPROD</f>
        <v>-1.3174125190249935E-4</v>
      </c>
      <c r="Q38" s="477">
        <f>-$G38*LifeCycleInventory!N6/FUELMJPROD</f>
        <v>-1.3208244808752755E-2</v>
      </c>
      <c r="R38" s="478">
        <f>-$G38*LifeCycleInventory!O6/FUELMJPROD</f>
        <v>-1.9335671440639322E-6</v>
      </c>
    </row>
    <row r="39" spans="1:18" x14ac:dyDescent="0.25">
      <c r="A39" s="398">
        <f>OPEX!A39</f>
        <v>0.6</v>
      </c>
      <c r="B39" s="3" t="s">
        <v>322</v>
      </c>
      <c r="C39" s="3" t="s">
        <v>616</v>
      </c>
      <c r="D39" s="154">
        <f>A39*VLOOKUP(C39, STREAMDATA, 2, FALSE)</f>
        <v>428.18817419999999</v>
      </c>
      <c r="E39" s="3" t="s">
        <v>220</v>
      </c>
      <c r="F39" s="104" t="s">
        <v>694</v>
      </c>
      <c r="G39" s="154">
        <f>D39</f>
        <v>428.18817419999999</v>
      </c>
      <c r="H39" s="475" t="s">
        <v>695</v>
      </c>
      <c r="I39" s="476">
        <f>-$G39*LifeCycleInventory!F7/FUELMJPROD</f>
        <v>-2.8900919842701138E-5</v>
      </c>
      <c r="J39" s="477">
        <f>-$G39*LifeCycleInventory!G7/FUELMJPROD</f>
        <v>-2.8011482400465561E-2</v>
      </c>
      <c r="K39" s="477">
        <f>-$G39*LifeCycleInventory!H7/FUELMJPROD</f>
        <v>-2.1436593021870687E-5</v>
      </c>
      <c r="L39" s="477">
        <f>-$G39*LifeCycleInventory!I7/FUELMJPROD</f>
        <v>-2.6967748235813384E-3</v>
      </c>
      <c r="M39" s="477">
        <f>-$G39*LifeCycleInventory!J7/FUELMJPROD</f>
        <v>-1.5501896247336549E-10</v>
      </c>
      <c r="N39" s="477">
        <f>-$G39*LifeCycleInventory!K7/FUELMJPROD</f>
        <v>-1.4778672689572828E-9</v>
      </c>
      <c r="O39" s="477">
        <f>-$G39*LifeCycleInventory!L7/FUELMJPROD</f>
        <v>-4.6801193213218493E-10</v>
      </c>
      <c r="P39" s="477">
        <f>-$G39*LifeCycleInventory!M7/FUELMJPROD</f>
        <v>-1.8095739090667046E-4</v>
      </c>
      <c r="Q39" s="477">
        <f>-$G39*LifeCycleInventory!N7/FUELMJPROD</f>
        <v>-6.2834175692443326E-3</v>
      </c>
      <c r="R39" s="478">
        <f>-$G39*LifeCycleInventory!O7/FUELMJPROD</f>
        <v>-4.0838313420552309E-6</v>
      </c>
    </row>
    <row r="40" spans="1:18" x14ac:dyDescent="0.25">
      <c r="A40" s="398">
        <f>OPEX!A40</f>
        <v>0</v>
      </c>
      <c r="B40" s="104" t="s">
        <v>622</v>
      </c>
      <c r="C40" s="3" t="s">
        <v>163</v>
      </c>
      <c r="D40" s="154">
        <f>A40*VLOOKUP(C40, STREAMDATA, 2, FALSE)</f>
        <v>0</v>
      </c>
      <c r="E40" s="3" t="s">
        <v>220</v>
      </c>
      <c r="F40" s="104" t="s">
        <v>687</v>
      </c>
      <c r="G40" s="154">
        <f>D40</f>
        <v>0</v>
      </c>
      <c r="H40" s="475" t="s">
        <v>691</v>
      </c>
      <c r="I40" s="476">
        <v>0</v>
      </c>
      <c r="J40" s="477">
        <v>0</v>
      </c>
      <c r="K40" s="477">
        <v>0</v>
      </c>
      <c r="L40" s="477">
        <v>0</v>
      </c>
      <c r="M40" s="477">
        <v>0</v>
      </c>
      <c r="N40" s="477">
        <v>0</v>
      </c>
      <c r="O40" s="477">
        <v>0</v>
      </c>
      <c r="P40" s="477">
        <v>0</v>
      </c>
      <c r="Q40" s="477">
        <v>0</v>
      </c>
      <c r="R40" s="478">
        <v>0</v>
      </c>
    </row>
    <row r="41" spans="1:18" ht="15.75" thickBot="1" x14ac:dyDescent="0.3">
      <c r="A41" s="482" t="s">
        <v>357</v>
      </c>
      <c r="B41" s="483"/>
      <c r="C41" s="483"/>
      <c r="D41" s="483"/>
      <c r="E41" s="483"/>
      <c r="F41" s="483"/>
      <c r="G41" s="483"/>
      <c r="H41" s="484"/>
      <c r="I41" s="476"/>
      <c r="J41" s="477"/>
      <c r="K41" s="477"/>
      <c r="L41" s="477"/>
      <c r="M41" s="477"/>
      <c r="N41" s="477"/>
      <c r="O41" s="477"/>
      <c r="P41" s="477"/>
      <c r="Q41" s="477"/>
      <c r="R41" s="478"/>
    </row>
    <row r="42" spans="1:18" s="403" customFormat="1" ht="15.75" x14ac:dyDescent="0.25">
      <c r="A42" s="446"/>
      <c r="B42" s="447" t="s">
        <v>707</v>
      </c>
      <c r="C42" s="447"/>
      <c r="D42" s="447"/>
      <c r="E42" s="447"/>
      <c r="F42" s="447"/>
      <c r="G42" s="447"/>
      <c r="H42" s="448"/>
      <c r="I42" s="476"/>
      <c r="J42" s="477"/>
      <c r="K42" s="477"/>
      <c r="L42" s="477"/>
      <c r="M42" s="477"/>
      <c r="N42" s="477"/>
      <c r="O42" s="477"/>
      <c r="P42" s="477"/>
      <c r="Q42" s="477"/>
      <c r="R42" s="478"/>
    </row>
    <row r="43" spans="1:18" s="403" customFormat="1" x14ac:dyDescent="0.25">
      <c r="A43" s="81">
        <v>1</v>
      </c>
      <c r="B43" s="3" t="s">
        <v>435</v>
      </c>
      <c r="C43" s="3" t="s">
        <v>195</v>
      </c>
      <c r="D43" s="154">
        <f>A43*VLOOKUP(C43, STREAMDATA, 2, FALSE)</f>
        <v>27.234051999999998</v>
      </c>
      <c r="E43" s="3" t="s">
        <v>220</v>
      </c>
      <c r="F43" s="3" t="s">
        <v>442</v>
      </c>
      <c r="G43" s="154">
        <f>(D43/1000)*NGTRANSPORT</f>
        <v>0.68085129999999994</v>
      </c>
      <c r="H43" s="8" t="s">
        <v>703</v>
      </c>
      <c r="I43" s="476">
        <f>$G43*LifeCycleInventory!F5/FUELMJPROD</f>
        <v>1.1175539711998977E-10</v>
      </c>
      <c r="J43" s="477">
        <f>$G43*LifeCycleInventory!G5/FUELMJPROD</f>
        <v>2.3138767604912242E-10</v>
      </c>
      <c r="K43" s="477">
        <f>$G43*LifeCycleInventory!H5/FUELMJPROD</f>
        <v>3.8701022375716738E-12</v>
      </c>
      <c r="L43" s="477">
        <f>$G43*LifeCycleInventory!I5/FUELMJPROD</f>
        <v>4.0832019002334369E-7</v>
      </c>
      <c r="M43" s="477">
        <f>$G43*LifeCycleInventory!J5/FUELMJPROD</f>
        <v>9.3652959423207534E-18</v>
      </c>
      <c r="N43" s="477">
        <f>$G43*LifeCycleInventory!K5/FUELMJPROD</f>
        <v>1.2511964795248205E-16</v>
      </c>
      <c r="O43" s="477">
        <f>$G43*LifeCycleInventory!L5/FUELMJPROD</f>
        <v>4.5812853034184813E-19</v>
      </c>
      <c r="P43" s="477">
        <f>$G43*LifeCycleInventory!M5/FUELMJPROD</f>
        <v>2.0586916670062293E-9</v>
      </c>
      <c r="Q43" s="477">
        <f>$G43*LifeCycleInventory!N5/FUELMJPROD</f>
        <v>0</v>
      </c>
      <c r="R43" s="478">
        <f>$G43*LifeCycleInventory!O5/FUELMJPROD</f>
        <v>4.2924980370638854E-12</v>
      </c>
    </row>
    <row r="44" spans="1:18" s="403" customFormat="1" x14ac:dyDescent="0.25">
      <c r="A44" s="81">
        <v>0</v>
      </c>
      <c r="B44" s="3" t="s">
        <v>435</v>
      </c>
      <c r="C44" s="3" t="s">
        <v>196</v>
      </c>
      <c r="D44" s="154">
        <f>A44*VLOOKUP(C44, STREAMDATA, 2, FALSE)</f>
        <v>0</v>
      </c>
      <c r="E44" s="3" t="s">
        <v>220</v>
      </c>
      <c r="F44" s="3" t="s">
        <v>442</v>
      </c>
      <c r="G44" s="154">
        <f>(D44/1000)*NGTRANSPORT</f>
        <v>0</v>
      </c>
      <c r="H44" s="8" t="s">
        <v>703</v>
      </c>
      <c r="I44" s="476">
        <f>$G44*LifeCycleInventory!F6/FUELMJPROD</f>
        <v>0</v>
      </c>
      <c r="J44" s="477">
        <f>$G44*LifeCycleInventory!G6/FUELMJPROD</f>
        <v>0</v>
      </c>
      <c r="K44" s="477">
        <f>$G44*LifeCycleInventory!H6/FUELMJPROD</f>
        <v>0</v>
      </c>
      <c r="L44" s="477">
        <f>$G44*LifeCycleInventory!I6/FUELMJPROD</f>
        <v>0</v>
      </c>
      <c r="M44" s="477">
        <f>$G44*LifeCycleInventory!J6/FUELMJPROD</f>
        <v>0</v>
      </c>
      <c r="N44" s="477">
        <f>$G44*LifeCycleInventory!K6/FUELMJPROD</f>
        <v>0</v>
      </c>
      <c r="O44" s="477">
        <f>$G44*LifeCycleInventory!L6/FUELMJPROD</f>
        <v>0</v>
      </c>
      <c r="P44" s="477">
        <f>$G44*LifeCycleInventory!M6/FUELMJPROD</f>
        <v>0</v>
      </c>
      <c r="Q44" s="477">
        <f>$G44*LifeCycleInventory!N6/FUELMJPROD</f>
        <v>0</v>
      </c>
      <c r="R44" s="478">
        <f>$G44*LifeCycleInventory!O6/FUELMJPROD</f>
        <v>0</v>
      </c>
    </row>
    <row r="45" spans="1:18" s="403" customFormat="1" ht="15.75" thickBot="1" x14ac:dyDescent="0.3">
      <c r="A45" s="482" t="s">
        <v>355</v>
      </c>
      <c r="B45" s="483"/>
      <c r="C45" s="483"/>
      <c r="D45" s="483"/>
      <c r="E45" s="483"/>
      <c r="F45" s="483"/>
      <c r="G45" s="483"/>
      <c r="H45" s="484"/>
      <c r="I45" s="479"/>
      <c r="J45" s="480"/>
      <c r="K45" s="480"/>
      <c r="L45" s="480"/>
      <c r="M45" s="480"/>
      <c r="N45" s="480"/>
      <c r="O45" s="480"/>
      <c r="P45" s="480"/>
      <c r="Q45" s="480"/>
      <c r="R45" s="481"/>
    </row>
    <row r="46" spans="1:18" ht="15.75" thickBot="1" x14ac:dyDescent="0.3"/>
    <row r="47" spans="1:18" ht="19.5" thickBot="1" x14ac:dyDescent="0.35">
      <c r="A47" s="656" t="s">
        <v>692</v>
      </c>
      <c r="B47" s="657"/>
      <c r="C47" s="657"/>
      <c r="D47" s="657"/>
      <c r="E47" s="657"/>
      <c r="F47" s="657"/>
      <c r="G47" s="657"/>
      <c r="H47" s="658"/>
      <c r="I47" s="473" t="s">
        <v>415</v>
      </c>
      <c r="J47" s="464" t="s">
        <v>416</v>
      </c>
      <c r="K47" s="464" t="s">
        <v>417</v>
      </c>
      <c r="L47" s="464" t="s">
        <v>418</v>
      </c>
      <c r="M47" s="464" t="s">
        <v>419</v>
      </c>
      <c r="N47" s="464" t="s">
        <v>420</v>
      </c>
      <c r="O47" s="464" t="s">
        <v>421</v>
      </c>
      <c r="P47" s="464" t="s">
        <v>422</v>
      </c>
      <c r="Q47" s="464" t="s">
        <v>423</v>
      </c>
      <c r="R47" s="465" t="s">
        <v>424</v>
      </c>
    </row>
    <row r="48" spans="1:18" ht="18.75" thickBot="1" x14ac:dyDescent="0.4">
      <c r="A48" s="434" t="s">
        <v>294</v>
      </c>
      <c r="B48" s="435" t="s">
        <v>304</v>
      </c>
      <c r="C48" s="435" t="s">
        <v>209</v>
      </c>
      <c r="D48" s="435" t="s">
        <v>55</v>
      </c>
      <c r="E48" s="435" t="s">
        <v>9</v>
      </c>
      <c r="F48" s="435" t="s">
        <v>684</v>
      </c>
      <c r="G48" s="435" t="s">
        <v>306</v>
      </c>
      <c r="H48" s="436" t="s">
        <v>9</v>
      </c>
      <c r="I48" s="474" t="s">
        <v>431</v>
      </c>
      <c r="J48" s="467" t="s">
        <v>425</v>
      </c>
      <c r="K48" s="467" t="s">
        <v>426</v>
      </c>
      <c r="L48" s="467" t="s">
        <v>432</v>
      </c>
      <c r="M48" s="467" t="s">
        <v>427</v>
      </c>
      <c r="N48" s="467" t="s">
        <v>427</v>
      </c>
      <c r="O48" s="467" t="s">
        <v>428</v>
      </c>
      <c r="P48" s="467" t="s">
        <v>433</v>
      </c>
      <c r="Q48" s="469" t="s">
        <v>429</v>
      </c>
      <c r="R48" s="470" t="s">
        <v>430</v>
      </c>
    </row>
    <row r="49" spans="1:18" ht="18" x14ac:dyDescent="0.35">
      <c r="A49" s="81">
        <v>0</v>
      </c>
      <c r="B49" s="3" t="s">
        <v>693</v>
      </c>
      <c r="C49" s="3" t="s">
        <v>173</v>
      </c>
      <c r="D49" s="154">
        <f>A49*VLOOKUP(C49, STREAMDATA, 2, FALSE)</f>
        <v>0</v>
      </c>
      <c r="E49" s="3" t="s">
        <v>220</v>
      </c>
      <c r="F49" s="3" t="s">
        <v>441</v>
      </c>
      <c r="G49" s="154">
        <f>D49</f>
        <v>0</v>
      </c>
      <c r="H49" s="8" t="s">
        <v>220</v>
      </c>
      <c r="I49" s="476">
        <f>-$G49*LifeCycleInventory!F9/FUELMJPROD</f>
        <v>0</v>
      </c>
      <c r="J49" s="477">
        <f>-$G49*LifeCycleInventory!G9/FUELMJPROD</f>
        <v>0</v>
      </c>
      <c r="K49" s="477">
        <f>-$G49*LifeCycleInventory!H9/FUELMJPROD</f>
        <v>0</v>
      </c>
      <c r="L49" s="477">
        <f>-$G49*LifeCycleInventory!I9/FUELMJPROD</f>
        <v>0</v>
      </c>
      <c r="M49" s="477">
        <f>-$G49*LifeCycleInventory!J9/FUELMJPROD</f>
        <v>0</v>
      </c>
      <c r="N49" s="477">
        <f>-$G49*LifeCycleInventory!K9/FUELMJPROD</f>
        <v>0</v>
      </c>
      <c r="O49" s="477">
        <f>-$G49*LifeCycleInventory!L9/FUELMJPROD</f>
        <v>0</v>
      </c>
      <c r="P49" s="477">
        <f>-$G49*LifeCycleInventory!M9/FUELMJPROD</f>
        <v>0</v>
      </c>
      <c r="Q49" s="477">
        <f>-$G49*LifeCycleInventory!N9/FUELMJPROD</f>
        <v>0</v>
      </c>
      <c r="R49" s="478">
        <f>-$G49*LifeCycleInventory!O9/FUELMJPROD</f>
        <v>0</v>
      </c>
    </row>
    <row r="50" spans="1:18" ht="18" x14ac:dyDescent="0.35">
      <c r="A50" s="81">
        <v>1</v>
      </c>
      <c r="B50" s="3" t="s">
        <v>693</v>
      </c>
      <c r="C50" s="3" t="s">
        <v>173</v>
      </c>
      <c r="D50" s="154">
        <f>A50*VLOOKUP(C50, STREAMDATA, 2, FALSE)</f>
        <v>3587.3136300000001</v>
      </c>
      <c r="E50" s="3" t="s">
        <v>220</v>
      </c>
      <c r="F50" s="3" t="s">
        <v>441</v>
      </c>
      <c r="G50" s="154">
        <f>D50</f>
        <v>3587.3136300000001</v>
      </c>
      <c r="H50" s="8" t="s">
        <v>220</v>
      </c>
      <c r="I50" s="476">
        <f>$G50*LifeCycleInventory!F9/FUELMJPROD</f>
        <v>0</v>
      </c>
      <c r="J50" s="477">
        <f>$G50*LifeCycleInventory!G9/FUELMJPROD</f>
        <v>0</v>
      </c>
      <c r="K50" s="477">
        <f>$G50*LifeCycleInventory!H9/FUELMJPROD</f>
        <v>0</v>
      </c>
      <c r="L50" s="477">
        <f>$G50*LifeCycleInventory!I9/FUELMJPROD</f>
        <v>1.4871246720429172E-2</v>
      </c>
      <c r="M50" s="477">
        <f>$G50*LifeCycleInventory!J9/FUELMJPROD</f>
        <v>0</v>
      </c>
      <c r="N50" s="477">
        <f>$G50*LifeCycleInventory!K9/FUELMJPROD</f>
        <v>0</v>
      </c>
      <c r="O50" s="477">
        <f>$G50*LifeCycleInventory!L9/FUELMJPROD</f>
        <v>0</v>
      </c>
      <c r="P50" s="477">
        <f>$G50*LifeCycleInventory!M9/FUELMJPROD</f>
        <v>0</v>
      </c>
      <c r="Q50" s="477">
        <f>$G50*LifeCycleInventory!N9/FUELMJPROD</f>
        <v>0</v>
      </c>
      <c r="R50" s="478">
        <f>$G50*LifeCycleInventory!O9/FUELMJPROD</f>
        <v>0</v>
      </c>
    </row>
    <row r="51" spans="1:18" s="403" customFormat="1" ht="18" x14ac:dyDescent="0.35">
      <c r="A51" s="81">
        <v>1</v>
      </c>
      <c r="B51" s="104" t="s">
        <v>704</v>
      </c>
      <c r="C51" s="104" t="s">
        <v>802</v>
      </c>
      <c r="D51" s="154">
        <f>A51*VLOOKUP(C51, STREAMDATA, 2, FALSE)</f>
        <v>0</v>
      </c>
      <c r="E51" s="3" t="s">
        <v>220</v>
      </c>
      <c r="F51" s="3" t="s">
        <v>441</v>
      </c>
      <c r="G51" s="154">
        <f>D51</f>
        <v>0</v>
      </c>
      <c r="H51" s="8" t="s">
        <v>220</v>
      </c>
      <c r="I51" s="476">
        <f>$G51*LifeCycleInventory!F10/FUELMJPROD</f>
        <v>0</v>
      </c>
      <c r="J51" s="477">
        <f>$G51*LifeCycleInventory!G10/FUELMJPROD</f>
        <v>0</v>
      </c>
      <c r="K51" s="477">
        <f>$G51*LifeCycleInventory!H10/FUELMJPROD</f>
        <v>0</v>
      </c>
      <c r="L51" s="477">
        <f>$G51*LifeCycleInventory!I10/FUELMJPROD</f>
        <v>0</v>
      </c>
      <c r="M51" s="477">
        <f>$G51*LifeCycleInventory!J10/FUELMJPROD</f>
        <v>0</v>
      </c>
      <c r="N51" s="477">
        <f>$G51*LifeCycleInventory!K10/FUELMJPROD</f>
        <v>0</v>
      </c>
      <c r="O51" s="477">
        <f>$G51*LifeCycleInventory!L10/FUELMJPROD</f>
        <v>0</v>
      </c>
      <c r="P51" s="477">
        <f>$G51*LifeCycleInventory!M10/FUELMJPROD</f>
        <v>0</v>
      </c>
      <c r="Q51" s="477">
        <f>$G51*LifeCycleInventory!N10/FUELMJPROD</f>
        <v>0</v>
      </c>
      <c r="R51" s="478">
        <f>$G51*LifeCycleInventory!O10/FUELMJPROD</f>
        <v>0</v>
      </c>
    </row>
    <row r="52" spans="1:18" ht="18" x14ac:dyDescent="0.35">
      <c r="A52" s="398">
        <f>1-A38</f>
        <v>0.4</v>
      </c>
      <c r="B52" s="3" t="s">
        <v>677</v>
      </c>
      <c r="C52" s="3" t="s">
        <v>615</v>
      </c>
      <c r="D52" s="541">
        <f>A52*VLOOKUP(C52, STREAMDATA, 2, FALSE)</f>
        <v>423.43129600000003</v>
      </c>
      <c r="E52" s="3" t="s">
        <v>220</v>
      </c>
      <c r="F52" s="3" t="s">
        <v>685</v>
      </c>
      <c r="G52" s="154">
        <f>D52</f>
        <v>423.43129600000003</v>
      </c>
      <c r="H52" s="8" t="s">
        <v>689</v>
      </c>
      <c r="I52" s="476">
        <f>$G52*LifeCycleInventory!F12/FUELMJPROD</f>
        <v>0</v>
      </c>
      <c r="J52" s="477">
        <f>$G52*LifeCycleInventory!G12/FUELMJPROD</f>
        <v>0</v>
      </c>
      <c r="K52" s="477">
        <f>$G52*LifeCycleInventory!H12/FUELMJPROD</f>
        <v>1.3679356288242746E-3</v>
      </c>
      <c r="L52" s="477">
        <f>$G52*LifeCycleInventory!I12/FUELMJPROD</f>
        <v>0</v>
      </c>
      <c r="M52" s="477">
        <f>$G52*LifeCycleInventory!J12/FUELMJPROD</f>
        <v>0</v>
      </c>
      <c r="N52" s="477">
        <f>$G52*LifeCycleInventory!K12/FUELMJPROD</f>
        <v>0</v>
      </c>
      <c r="O52" s="477">
        <f>$G52*LifeCycleInventory!L12/FUELMJPROD</f>
        <v>0</v>
      </c>
      <c r="P52" s="477">
        <f>$G52*LifeCycleInventory!M12/FUELMJPROD</f>
        <v>0</v>
      </c>
      <c r="Q52" s="477">
        <f>$G52*LifeCycleInventory!N12/FUELMJPROD</f>
        <v>0</v>
      </c>
      <c r="R52" s="478">
        <f>$G52*LifeCycleInventory!O12/FUELMJPROD</f>
        <v>0</v>
      </c>
    </row>
    <row r="53" spans="1:18" ht="18" x14ac:dyDescent="0.35">
      <c r="A53" s="398">
        <f>1-A39</f>
        <v>0.4</v>
      </c>
      <c r="B53" s="3" t="s">
        <v>679</v>
      </c>
      <c r="C53" s="3" t="s">
        <v>616</v>
      </c>
      <c r="D53" s="154">
        <f>A53*VLOOKUP(C53, STREAMDATA, 2, FALSE)</f>
        <v>285.45878280000005</v>
      </c>
      <c r="E53" s="3" t="s">
        <v>220</v>
      </c>
      <c r="F53" s="104" t="s">
        <v>686</v>
      </c>
      <c r="G53" s="154">
        <f>D53*31/132.1</f>
        <v>66.988813526116587</v>
      </c>
      <c r="H53" s="475" t="s">
        <v>690</v>
      </c>
      <c r="I53" s="476">
        <f>$G53*LifeCycleInventory!F13/FUELMJPROD</f>
        <v>0</v>
      </c>
      <c r="J53" s="477">
        <f>$G53*LifeCycleInventory!G13/FUELMJPROD</f>
        <v>0</v>
      </c>
      <c r="K53" s="477">
        <f>$G53*LifeCycleInventory!H13/FUELMJPROD</f>
        <v>2.0244536841603315E-3</v>
      </c>
      <c r="L53" s="477">
        <f>$G53*LifeCycleInventory!I13/FUELMJPROD</f>
        <v>0</v>
      </c>
      <c r="M53" s="477">
        <f>$G53*LifeCycleInventory!J13/FUELMJPROD</f>
        <v>0</v>
      </c>
      <c r="N53" s="477">
        <f>$G53*LifeCycleInventory!K13/FUELMJPROD</f>
        <v>0</v>
      </c>
      <c r="O53" s="477">
        <f>$G53*LifeCycleInventory!L13/FUELMJPROD</f>
        <v>0</v>
      </c>
      <c r="P53" s="477">
        <f>$G53*LifeCycleInventory!M13/FUELMJPROD</f>
        <v>0</v>
      </c>
      <c r="Q53" s="477">
        <f>$G53*LifeCycleInventory!N13/FUELMJPROD</f>
        <v>0</v>
      </c>
      <c r="R53" s="478">
        <f>$G53*LifeCycleInventory!O13/FUELMJPROD</f>
        <v>0</v>
      </c>
    </row>
    <row r="54" spans="1:18" ht="15.75" thickBot="1" x14ac:dyDescent="0.3">
      <c r="A54" s="482" t="s">
        <v>696</v>
      </c>
      <c r="B54" s="483"/>
      <c r="C54" s="483"/>
      <c r="D54" s="483"/>
      <c r="E54" s="483"/>
      <c r="F54" s="483"/>
      <c r="G54" s="483"/>
      <c r="H54" s="484"/>
      <c r="I54" s="479"/>
      <c r="J54" s="480"/>
      <c r="K54" s="480"/>
      <c r="L54" s="480"/>
      <c r="M54" s="480"/>
      <c r="N54" s="480"/>
      <c r="O54" s="480"/>
      <c r="P54" s="480"/>
      <c r="Q54" s="480"/>
      <c r="R54" s="481"/>
    </row>
    <row r="55" spans="1:18" ht="15.75" thickBot="1" x14ac:dyDescent="0.3"/>
    <row r="56" spans="1:18" ht="19.5" thickBot="1" x14ac:dyDescent="0.35">
      <c r="A56" s="656" t="s">
        <v>699</v>
      </c>
      <c r="B56" s="657"/>
      <c r="C56" s="657"/>
      <c r="D56" s="657"/>
      <c r="E56" s="657"/>
      <c r="F56" s="657"/>
      <c r="G56" s="657"/>
      <c r="H56" s="658"/>
      <c r="I56" s="473" t="s">
        <v>415</v>
      </c>
      <c r="J56" s="464" t="s">
        <v>416</v>
      </c>
      <c r="K56" s="464" t="s">
        <v>417</v>
      </c>
      <c r="L56" s="464" t="s">
        <v>418</v>
      </c>
      <c r="M56" s="464" t="s">
        <v>419</v>
      </c>
      <c r="N56" s="464" t="s">
        <v>420</v>
      </c>
      <c r="O56" s="464" t="s">
        <v>421</v>
      </c>
      <c r="P56" s="464" t="s">
        <v>422</v>
      </c>
      <c r="Q56" s="464" t="s">
        <v>423</v>
      </c>
      <c r="R56" s="465" t="s">
        <v>424</v>
      </c>
    </row>
    <row r="57" spans="1:18" ht="18.75" thickBot="1" x14ac:dyDescent="0.4">
      <c r="A57" s="434" t="s">
        <v>294</v>
      </c>
      <c r="B57" s="435" t="s">
        <v>304</v>
      </c>
      <c r="C57" s="435" t="s">
        <v>209</v>
      </c>
      <c r="D57" s="435" t="s">
        <v>55</v>
      </c>
      <c r="E57" s="435" t="s">
        <v>9</v>
      </c>
      <c r="F57" s="435" t="s">
        <v>684</v>
      </c>
      <c r="G57" s="435" t="s">
        <v>306</v>
      </c>
      <c r="H57" s="436" t="s">
        <v>9</v>
      </c>
      <c r="I57" s="474" t="s">
        <v>431</v>
      </c>
      <c r="J57" s="467" t="s">
        <v>425</v>
      </c>
      <c r="K57" s="467" t="s">
        <v>426</v>
      </c>
      <c r="L57" s="467" t="s">
        <v>432</v>
      </c>
      <c r="M57" s="467" t="s">
        <v>427</v>
      </c>
      <c r="N57" s="467" t="s">
        <v>427</v>
      </c>
      <c r="O57" s="467" t="s">
        <v>428</v>
      </c>
      <c r="P57" s="467" t="s">
        <v>433</v>
      </c>
      <c r="Q57" s="469" t="s">
        <v>429</v>
      </c>
      <c r="R57" s="470" t="s">
        <v>430</v>
      </c>
    </row>
    <row r="58" spans="1:18" ht="18" x14ac:dyDescent="0.35">
      <c r="A58" s="81">
        <v>1</v>
      </c>
      <c r="B58" s="3" t="s">
        <v>676</v>
      </c>
      <c r="C58" s="3" t="s">
        <v>621</v>
      </c>
      <c r="D58" s="154">
        <f>A58*VLOOKUP(C58, STREAMDATA, 2, FALSE)</f>
        <v>874.73551799999996</v>
      </c>
      <c r="E58" s="3" t="s">
        <v>220</v>
      </c>
      <c r="F58" s="3" t="s">
        <v>441</v>
      </c>
      <c r="G58" s="154">
        <f>D58</f>
        <v>874.73551799999996</v>
      </c>
      <c r="H58" s="8" t="s">
        <v>220</v>
      </c>
      <c r="I58" s="476">
        <f>$G58*LifeCycleInventory!F6/FUELMJPROD</f>
        <v>1.6263183422914688E-5</v>
      </c>
      <c r="J58" s="477">
        <f>$G58*LifeCycleInventory!G6/FUELMJPROD</f>
        <v>1.43426504142734E-2</v>
      </c>
      <c r="K58" s="477">
        <f>$G58*LifeCycleInventory!H6/FUELMJPROD</f>
        <v>6.2219946575966266E-6</v>
      </c>
      <c r="L58" s="477">
        <f>$G58*LifeCycleInventory!I6/FUELMJPROD</f>
        <v>6.9002387447466892E-3</v>
      </c>
      <c r="M58" s="477">
        <f>$G58*LifeCycleInventory!J6/FUELMJPROD</f>
        <v>1.0525163819419529E-10</v>
      </c>
      <c r="N58" s="477">
        <f>$G58*LifeCycleInventory!K6/FUELMJPROD</f>
        <v>6.4455491226278314E-10</v>
      </c>
      <c r="O58" s="477">
        <f>$G58*LifeCycleInventory!L6/FUELMJPROD</f>
        <v>1.2710089093650661E-9</v>
      </c>
      <c r="P58" s="477">
        <f>$G58*LifeCycleInventory!M6/FUELMJPROD</f>
        <v>1.8143636415717568E-4</v>
      </c>
      <c r="Q58" s="477">
        <f>$G58*LifeCycleInventory!N6/FUELMJPROD</f>
        <v>1.8190626553113275E-2</v>
      </c>
      <c r="R58" s="478">
        <f>$G58*LifeCycleInventory!O6/FUELMJPROD</f>
        <v>2.6629426045865452E-6</v>
      </c>
    </row>
    <row r="59" spans="1:18" x14ac:dyDescent="0.25">
      <c r="A59" s="81">
        <v>1</v>
      </c>
      <c r="B59" s="3" t="s">
        <v>437</v>
      </c>
      <c r="C59" s="3" t="s">
        <v>616</v>
      </c>
      <c r="D59" s="154">
        <f>A59*VLOOKUP(C59, STREAMDATA, 2, FALSE)</f>
        <v>713.64695700000004</v>
      </c>
      <c r="E59" s="3" t="s">
        <v>220</v>
      </c>
      <c r="F59" s="3" t="s">
        <v>441</v>
      </c>
      <c r="G59" s="154">
        <f>D59</f>
        <v>713.64695700000004</v>
      </c>
      <c r="H59" s="8" t="s">
        <v>220</v>
      </c>
      <c r="I59" s="476">
        <f>$G59*LifeCycleInventory!F7/FUELMJPROD</f>
        <v>4.8168199737835236E-5</v>
      </c>
      <c r="J59" s="477">
        <f>$G59*LifeCycleInventory!G7/FUELMJPROD</f>
        <v>4.6685804000775939E-2</v>
      </c>
      <c r="K59" s="477">
        <f>$G59*LifeCycleInventory!H7/FUELMJPROD</f>
        <v>3.5727655036451145E-5</v>
      </c>
      <c r="L59" s="477">
        <f>$G59*LifeCycleInventory!I7/FUELMJPROD</f>
        <v>4.4946247059688979E-3</v>
      </c>
      <c r="M59" s="477">
        <f>$G59*LifeCycleInventory!J7/FUELMJPROD</f>
        <v>2.5836493745560914E-10</v>
      </c>
      <c r="N59" s="477">
        <f>$G59*LifeCycleInventory!K7/FUELMJPROD</f>
        <v>2.4631121149288048E-9</v>
      </c>
      <c r="O59" s="477">
        <f>$G59*LifeCycleInventory!L7/FUELMJPROD</f>
        <v>7.8001988688697503E-10</v>
      </c>
      <c r="P59" s="477">
        <f>$G59*LifeCycleInventory!M7/FUELMJPROD</f>
        <v>3.0159565151111745E-4</v>
      </c>
      <c r="Q59" s="477">
        <f>$G59*LifeCycleInventory!N7/FUELMJPROD</f>
        <v>1.0472362615407224E-2</v>
      </c>
      <c r="R59" s="478">
        <f>$G59*LifeCycleInventory!O7/FUELMJPROD</f>
        <v>6.8063855700920527E-6</v>
      </c>
    </row>
    <row r="60" spans="1:18" x14ac:dyDescent="0.25">
      <c r="A60" s="81">
        <v>1</v>
      </c>
      <c r="B60" s="3" t="s">
        <v>640</v>
      </c>
      <c r="C60" s="529"/>
      <c r="D60" s="530">
        <f>2*5000*0.405 + 0.0000123*995*$D$22 + 0.0000193*($D$22/(1-$B$6))*1000</f>
        <v>5654.3470865883501</v>
      </c>
      <c r="E60" s="3" t="s">
        <v>613</v>
      </c>
      <c r="F60" s="3" t="s">
        <v>443</v>
      </c>
      <c r="G60" s="154">
        <f>D60</f>
        <v>5654.3470865883501</v>
      </c>
      <c r="H60" s="8" t="s">
        <v>613</v>
      </c>
      <c r="I60" s="476">
        <f>$G60*LifeCycleInventory!F8/FUELMJPROD</f>
        <v>9.9881893430733395E-5</v>
      </c>
      <c r="J60" s="477">
        <f>$G60*LifeCycleInventory!G8/FUELMJPROD</f>
        <v>6.8590735666950897E-2</v>
      </c>
      <c r="K60" s="477">
        <f>$G60*LifeCycleInventory!H8/FUELMJPROD</f>
        <v>8.7403356315426955E-5</v>
      </c>
      <c r="L60" s="477">
        <f>$G60*LifeCycleInventory!I8/FUELMJPROD</f>
        <v>1.5272452348776435E-2</v>
      </c>
      <c r="M60" s="477">
        <f>$G60*LifeCycleInventory!J8/FUELMJPROD</f>
        <v>1.0951795110613491E-9</v>
      </c>
      <c r="N60" s="477">
        <f>$G60*LifeCycleInventory!K8/FUELMJPROD</f>
        <v>3.0451701662255512E-9</v>
      </c>
      <c r="O60" s="477">
        <f>$G60*LifeCycleInventory!L8/FUELMJPROD</f>
        <v>7.9443201400264269E-10</v>
      </c>
      <c r="P60" s="477">
        <f>$G60*LifeCycleInventory!M8/FUELMJPROD</f>
        <v>9.4845373103442921E-4</v>
      </c>
      <c r="Q60" s="477">
        <f>$G60*LifeCycleInventory!N8/FUELMJPROD</f>
        <v>1.0536869584268997E-2</v>
      </c>
      <c r="R60" s="478">
        <f>$G60*LifeCycleInventory!O8/FUELMJPROD</f>
        <v>2.5893572437790408E-5</v>
      </c>
    </row>
    <row r="61" spans="1:18" ht="18" x14ac:dyDescent="0.35">
      <c r="A61" s="81">
        <v>1</v>
      </c>
      <c r="B61" s="3" t="s">
        <v>439</v>
      </c>
      <c r="C61" s="104" t="s">
        <v>620</v>
      </c>
      <c r="D61" s="154">
        <f>A61*VLOOKUP(C61, STREAMDATA, 2, FALSE)</f>
        <v>25572.933300000001</v>
      </c>
      <c r="E61" s="3" t="s">
        <v>220</v>
      </c>
      <c r="F61" s="104" t="s">
        <v>441</v>
      </c>
      <c r="G61" s="154">
        <f>D61</f>
        <v>25572.933300000001</v>
      </c>
      <c r="H61" s="475" t="s">
        <v>697</v>
      </c>
      <c r="I61" s="476">
        <f>-$G61*LifeCycleInventory!F9/FUELMJPROD</f>
        <v>0</v>
      </c>
      <c r="J61" s="477">
        <f>-$G61*LifeCycleInventory!G9/FUELMJPROD</f>
        <v>0</v>
      </c>
      <c r="K61" s="477">
        <f>-$G61*LifeCycleInventory!H9/FUELMJPROD</f>
        <v>0</v>
      </c>
      <c r="L61" s="477">
        <f>-$G61*LifeCycleInventory!I9/FUELMJPROD</f>
        <v>-0.10601286636579332</v>
      </c>
      <c r="M61" s="477">
        <f>-$G61*LifeCycleInventory!J9/FUELMJPROD</f>
        <v>0</v>
      </c>
      <c r="N61" s="477">
        <f>-$G61*LifeCycleInventory!K9/FUELMJPROD</f>
        <v>0</v>
      </c>
      <c r="O61" s="477">
        <f>-$G61*LifeCycleInventory!L9/FUELMJPROD</f>
        <v>0</v>
      </c>
      <c r="P61" s="477">
        <f>-$G61*LifeCycleInventory!M9/FUELMJPROD</f>
        <v>0</v>
      </c>
      <c r="Q61" s="477">
        <f>-$G61*LifeCycleInventory!N9/FUELMJPROD</f>
        <v>0</v>
      </c>
      <c r="R61" s="478">
        <f>-$G61*LifeCycleInventory!O9/FUELMJPROD</f>
        <v>0</v>
      </c>
    </row>
    <row r="62" spans="1:18" ht="15.75" thickBot="1" x14ac:dyDescent="0.3">
      <c r="A62" s="482" t="s">
        <v>698</v>
      </c>
      <c r="B62" s="483"/>
      <c r="C62" s="483"/>
      <c r="D62" s="483"/>
      <c r="E62" s="483"/>
      <c r="F62" s="483"/>
      <c r="G62" s="483"/>
      <c r="H62" s="484"/>
      <c r="I62" s="479"/>
      <c r="J62" s="480"/>
      <c r="K62" s="480"/>
      <c r="L62" s="480"/>
      <c r="M62" s="480"/>
      <c r="N62" s="480"/>
      <c r="O62" s="480"/>
      <c r="P62" s="480"/>
      <c r="Q62" s="480"/>
      <c r="R62" s="481"/>
    </row>
    <row r="63" spans="1:18" ht="15.75" thickBot="1" x14ac:dyDescent="0.3"/>
    <row r="64" spans="1:18" s="403" customFormat="1" ht="19.5" thickBot="1" x14ac:dyDescent="0.35">
      <c r="A64" s="656" t="s">
        <v>722</v>
      </c>
      <c r="B64" s="657"/>
      <c r="C64" s="657"/>
      <c r="D64" s="657"/>
      <c r="E64" s="657"/>
      <c r="F64" s="657"/>
      <c r="G64" s="657"/>
      <c r="H64" s="658"/>
      <c r="I64" s="473" t="s">
        <v>415</v>
      </c>
      <c r="J64" s="464" t="s">
        <v>416</v>
      </c>
      <c r="K64" s="464" t="s">
        <v>417</v>
      </c>
      <c r="L64" s="464" t="s">
        <v>418</v>
      </c>
      <c r="M64" s="464" t="s">
        <v>419</v>
      </c>
      <c r="N64" s="464" t="s">
        <v>420</v>
      </c>
      <c r="O64" s="464" t="s">
        <v>421</v>
      </c>
      <c r="P64" s="464" t="s">
        <v>422</v>
      </c>
      <c r="Q64" s="464" t="s">
        <v>423</v>
      </c>
      <c r="R64" s="465" t="s">
        <v>424</v>
      </c>
    </row>
    <row r="65" spans="1:19" s="403" customFormat="1" ht="18.75" thickBot="1" x14ac:dyDescent="0.4">
      <c r="A65" s="434" t="s">
        <v>294</v>
      </c>
      <c r="B65" s="435" t="s">
        <v>304</v>
      </c>
      <c r="C65" s="435" t="s">
        <v>209</v>
      </c>
      <c r="D65" s="435" t="s">
        <v>55</v>
      </c>
      <c r="E65" s="435" t="s">
        <v>9</v>
      </c>
      <c r="F65" s="435" t="s">
        <v>684</v>
      </c>
      <c r="G65" s="435" t="s">
        <v>306</v>
      </c>
      <c r="H65" s="436" t="s">
        <v>9</v>
      </c>
      <c r="I65" s="474" t="s">
        <v>431</v>
      </c>
      <c r="J65" s="467" t="s">
        <v>425</v>
      </c>
      <c r="K65" s="467" t="s">
        <v>426</v>
      </c>
      <c r="L65" s="467" t="s">
        <v>432</v>
      </c>
      <c r="M65" s="467" t="s">
        <v>427</v>
      </c>
      <c r="N65" s="467" t="s">
        <v>427</v>
      </c>
      <c r="O65" s="467" t="s">
        <v>428</v>
      </c>
      <c r="P65" s="467" t="s">
        <v>433</v>
      </c>
      <c r="Q65" s="469" t="s">
        <v>429</v>
      </c>
      <c r="R65" s="470" t="s">
        <v>430</v>
      </c>
    </row>
    <row r="66" spans="1:19" s="403" customFormat="1" x14ac:dyDescent="0.25">
      <c r="A66" s="81">
        <v>1</v>
      </c>
      <c r="B66" s="3" t="s">
        <v>768</v>
      </c>
      <c r="C66" s="104"/>
      <c r="D66" s="154">
        <f>$D$11+$D$12</f>
        <v>5256.45694</v>
      </c>
      <c r="E66" s="3" t="s">
        <v>220</v>
      </c>
      <c r="F66" s="104" t="s">
        <v>441</v>
      </c>
      <c r="G66" s="154">
        <f>D66</f>
        <v>5256.45694</v>
      </c>
      <c r="H66" s="475" t="s">
        <v>220</v>
      </c>
      <c r="I66" s="476">
        <f>$G66*LifeCycleInventory!F14/FUELMJPROD</f>
        <v>0</v>
      </c>
      <c r="J66" s="477">
        <f>$G66*LifeCycleInventory!G14/FUELMJPROD</f>
        <v>0</v>
      </c>
      <c r="K66" s="477">
        <f>$G66*LifeCycleInventory!H14/FUELMJPROD</f>
        <v>0</v>
      </c>
      <c r="L66" s="477">
        <f>$G66*LifeCycleInventory!I14/FUELMJPROD</f>
        <v>0</v>
      </c>
      <c r="M66" s="477">
        <f>$G66*LifeCycleInventory!J14/FUELMJPROD</f>
        <v>0</v>
      </c>
      <c r="N66" s="477">
        <f>$G66*LifeCycleInventory!K14/FUELMJPROD</f>
        <v>0</v>
      </c>
      <c r="O66" s="477">
        <f>$G66*LifeCycleInventory!L14/FUELMJPROD</f>
        <v>0</v>
      </c>
      <c r="P66" s="477">
        <f>$G66*LifeCycleInventory!M14/FUELMJPROD</f>
        <v>0</v>
      </c>
      <c r="Q66" s="477">
        <f>$G66*LifeCycleInventory!N14/FUELMJPROD</f>
        <v>7.4088373282872773E-3</v>
      </c>
      <c r="R66" s="478">
        <f>$G66*LifeCycleInventory!O14/FUELMJPROD</f>
        <v>0</v>
      </c>
    </row>
    <row r="67" spans="1:19" s="403" customFormat="1" x14ac:dyDescent="0.25">
      <c r="A67" s="81">
        <v>1</v>
      </c>
      <c r="B67" s="3" t="s">
        <v>723</v>
      </c>
      <c r="C67" s="104"/>
      <c r="D67" s="154"/>
      <c r="E67" s="3"/>
      <c r="F67" s="104"/>
      <c r="G67" s="154"/>
      <c r="H67" s="475"/>
      <c r="I67" s="476">
        <f>LifeCycleInventory!F15</f>
        <v>2.4842010746425882E-5</v>
      </c>
      <c r="J67" s="477">
        <f>LifeCycleInventory!G15</f>
        <v>0</v>
      </c>
      <c r="K67" s="477">
        <f>LifeCycleInventory!H15</f>
        <v>1.5391222741973158E-6</v>
      </c>
      <c r="L67" s="477">
        <f>LifeCycleInventory!I15</f>
        <v>7.5743998714053851E-2</v>
      </c>
      <c r="M67" s="477">
        <f>LifeCycleInventory!J15</f>
        <v>0</v>
      </c>
      <c r="N67" s="477">
        <f>LifeCycleInventory!K15</f>
        <v>0</v>
      </c>
      <c r="O67" s="477">
        <f>LifeCycleInventory!L15</f>
        <v>0</v>
      </c>
      <c r="P67" s="477">
        <f>LifeCycleInventory!M15</f>
        <v>1.0195463401605773E-3</v>
      </c>
      <c r="Q67" s="477">
        <f>LifeCycleInventory!N15</f>
        <v>0</v>
      </c>
      <c r="R67" s="478">
        <f>LifeCycleInventory!O15</f>
        <v>4.4968027848137342E-6</v>
      </c>
    </row>
    <row r="68" spans="1:19" s="403" customFormat="1" ht="15.75" thickBot="1" x14ac:dyDescent="0.3">
      <c r="A68" s="482" t="s">
        <v>721</v>
      </c>
      <c r="B68" s="483"/>
      <c r="C68" s="483"/>
      <c r="D68" s="483"/>
      <c r="E68" s="483"/>
      <c r="F68" s="483"/>
      <c r="G68" s="483"/>
      <c r="H68" s="484"/>
      <c r="I68" s="479"/>
      <c r="J68" s="480"/>
      <c r="K68" s="480"/>
      <c r="L68" s="480"/>
      <c r="M68" s="480"/>
      <c r="N68" s="480"/>
      <c r="O68" s="480"/>
      <c r="P68" s="480"/>
      <c r="Q68" s="480"/>
      <c r="R68" s="481"/>
    </row>
    <row r="69" spans="1:19" s="403" customFormat="1" ht="16.5" customHeight="1" thickBot="1" x14ac:dyDescent="0.3"/>
    <row r="70" spans="1:19" s="403" customFormat="1" ht="16.5" customHeight="1" x14ac:dyDescent="0.25">
      <c r="I70" s="463" t="s">
        <v>415</v>
      </c>
      <c r="J70" s="464" t="s">
        <v>416</v>
      </c>
      <c r="K70" s="464" t="s">
        <v>417</v>
      </c>
      <c r="L70" s="464" t="s">
        <v>418</v>
      </c>
      <c r="M70" s="464" t="s">
        <v>419</v>
      </c>
      <c r="N70" s="464" t="s">
        <v>420</v>
      </c>
      <c r="O70" s="464" t="s">
        <v>421</v>
      </c>
      <c r="P70" s="464" t="s">
        <v>422</v>
      </c>
      <c r="Q70" s="464" t="s">
        <v>423</v>
      </c>
      <c r="R70" s="465" t="s">
        <v>424</v>
      </c>
    </row>
    <row r="71" spans="1:19" s="403" customFormat="1" ht="16.5" customHeight="1" thickBot="1" x14ac:dyDescent="0.4">
      <c r="I71" s="466" t="s">
        <v>431</v>
      </c>
      <c r="J71" s="467" t="s">
        <v>425</v>
      </c>
      <c r="K71" s="467" t="s">
        <v>426</v>
      </c>
      <c r="L71" s="467" t="s">
        <v>432</v>
      </c>
      <c r="M71" s="467" t="s">
        <v>427</v>
      </c>
      <c r="N71" s="467" t="s">
        <v>427</v>
      </c>
      <c r="O71" s="467" t="s">
        <v>428</v>
      </c>
      <c r="P71" s="467" t="s">
        <v>433</v>
      </c>
      <c r="Q71" s="469" t="s">
        <v>429</v>
      </c>
      <c r="R71" s="470" t="s">
        <v>430</v>
      </c>
    </row>
    <row r="72" spans="1:19" s="403" customFormat="1" ht="19.5" thickBot="1" x14ac:dyDescent="0.35">
      <c r="F72" s="650" t="s">
        <v>725</v>
      </c>
      <c r="G72" s="651"/>
      <c r="H72" s="652"/>
      <c r="I72" s="501">
        <f>SUM(I$22:I$45,I$49:I$54,I$58:I$62,I$66:I$67)</f>
        <v>1.8600177178232063E-4</v>
      </c>
      <c r="J72" s="502">
        <f t="shared" ref="J72:R72" si="1">SUM(J$22:J$45,J$49:J$54,J$58:J$62,J$66:J$67)</f>
        <v>0.13492288381709022</v>
      </c>
      <c r="K72" s="502">
        <f t="shared" si="1"/>
        <v>3.5207125318063564E-3</v>
      </c>
      <c r="L72" s="502">
        <f t="shared" si="1"/>
        <v>2.2672436031918521E-2</v>
      </c>
      <c r="M72" s="502">
        <f t="shared" si="1"/>
        <v>1.540540002002434E-9</v>
      </c>
      <c r="N72" s="502">
        <f t="shared" si="1"/>
        <v>6.7163465329679558E-9</v>
      </c>
      <c r="O72" s="502">
        <f t="shared" si="1"/>
        <v>5.367461552280135E-9</v>
      </c>
      <c r="P72" s="502">
        <f t="shared" si="1"/>
        <v>2.6521452808301788E-3</v>
      </c>
      <c r="Q72" s="502">
        <f t="shared" si="1"/>
        <v>0.26129699123690242</v>
      </c>
      <c r="R72" s="503">
        <f t="shared" si="1"/>
        <v>4.3221115717167299E-5</v>
      </c>
    </row>
    <row r="73" spans="1:19" s="403" customFormat="1" ht="16.5" customHeight="1" thickBot="1" x14ac:dyDescent="0.3"/>
    <row r="74" spans="1:19" s="403" customFormat="1" ht="19.5" customHeight="1" x14ac:dyDescent="0.25">
      <c r="F74" s="661" t="s">
        <v>728</v>
      </c>
      <c r="G74" s="662"/>
      <c r="H74" s="663"/>
      <c r="I74" s="463" t="s">
        <v>415</v>
      </c>
      <c r="J74" s="464" t="s">
        <v>416</v>
      </c>
      <c r="K74" s="464" t="s">
        <v>417</v>
      </c>
      <c r="L74" s="464" t="s">
        <v>739</v>
      </c>
      <c r="M74" s="464" t="s">
        <v>740</v>
      </c>
      <c r="N74" s="464" t="s">
        <v>741</v>
      </c>
      <c r="O74" s="464" t="s">
        <v>742</v>
      </c>
      <c r="P74" s="464" t="s">
        <v>422</v>
      </c>
      <c r="Q74" s="464" t="s">
        <v>743</v>
      </c>
      <c r="R74" s="465" t="s">
        <v>424</v>
      </c>
      <c r="S74" s="514" t="s">
        <v>737</v>
      </c>
    </row>
    <row r="75" spans="1:19" s="403" customFormat="1" ht="18.75" customHeight="1" thickBot="1" x14ac:dyDescent="0.4">
      <c r="F75" s="664"/>
      <c r="G75" s="665"/>
      <c r="H75" s="666"/>
      <c r="I75" s="466" t="s">
        <v>431</v>
      </c>
      <c r="J75" s="467" t="s">
        <v>425</v>
      </c>
      <c r="K75" s="467" t="s">
        <v>426</v>
      </c>
      <c r="L75" s="467" t="s">
        <v>432</v>
      </c>
      <c r="M75" s="467" t="s">
        <v>427</v>
      </c>
      <c r="N75" s="467" t="s">
        <v>427</v>
      </c>
      <c r="O75" s="467" t="s">
        <v>428</v>
      </c>
      <c r="P75" s="467" t="s">
        <v>433</v>
      </c>
      <c r="Q75" s="469" t="s">
        <v>429</v>
      </c>
      <c r="R75" s="470" t="s">
        <v>430</v>
      </c>
      <c r="S75" s="515" t="s">
        <v>738</v>
      </c>
    </row>
    <row r="76" spans="1:19" s="403" customFormat="1" x14ac:dyDescent="0.25">
      <c r="A76" s="81"/>
      <c r="C76" s="104"/>
      <c r="D76" s="154"/>
      <c r="E76" s="3"/>
      <c r="F76" s="670" t="s">
        <v>730</v>
      </c>
      <c r="G76" s="671"/>
      <c r="H76" s="672"/>
      <c r="I76" s="476">
        <f>SUM(I58:I61)</f>
        <v>1.643132765914833E-4</v>
      </c>
      <c r="J76" s="477">
        <f t="shared" ref="J76:R76" si="2">SUM(J58:J61)</f>
        <v>0.12961919008200024</v>
      </c>
      <c r="K76" s="477">
        <f t="shared" si="2"/>
        <v>1.2935300600947473E-4</v>
      </c>
      <c r="L76" s="477">
        <f t="shared" si="2"/>
        <v>-7.9345550566301298E-2</v>
      </c>
      <c r="M76" s="477">
        <f t="shared" si="2"/>
        <v>1.4587960867111536E-9</v>
      </c>
      <c r="N76" s="477">
        <f t="shared" si="2"/>
        <v>6.1528371934171395E-9</v>
      </c>
      <c r="O76" s="477">
        <f t="shared" si="2"/>
        <v>2.8454608102546838E-9</v>
      </c>
      <c r="P76" s="477">
        <f t="shared" si="2"/>
        <v>1.4314857467027224E-3</v>
      </c>
      <c r="Q76" s="477">
        <f t="shared" si="2"/>
        <v>3.9199858752789495E-2</v>
      </c>
      <c r="R76" s="478">
        <f t="shared" si="2"/>
        <v>3.5362900612469005E-5</v>
      </c>
      <c r="S76" s="516">
        <f>(G60/1000)*3600/FUELMJPROD</f>
        <v>8.43845610575574E-2</v>
      </c>
    </row>
    <row r="77" spans="1:19" s="403" customFormat="1" x14ac:dyDescent="0.25">
      <c r="A77" s="81"/>
      <c r="C77" s="104"/>
      <c r="D77" s="154"/>
      <c r="E77" s="3"/>
      <c r="F77" s="673" t="s">
        <v>731</v>
      </c>
      <c r="G77" s="674"/>
      <c r="H77" s="675"/>
      <c r="I77" s="476">
        <f>SUM(I30:I31,I43:I44)</f>
        <v>2.3090992836081224E-7</v>
      </c>
      <c r="J77" s="477">
        <f t="shared" ref="J77:R77" si="3">SUM(J30:J31,J43:J44)</f>
        <v>1.2140413975480185E-4</v>
      </c>
      <c r="K77" s="477">
        <f t="shared" si="3"/>
        <v>2.640856175119115E-8</v>
      </c>
      <c r="L77" s="477">
        <f t="shared" si="3"/>
        <v>3.7007258057881365E-5</v>
      </c>
      <c r="M77" s="477">
        <f t="shared" si="3"/>
        <v>6.1567769192506502E-13</v>
      </c>
      <c r="N77" s="477">
        <f t="shared" si="3"/>
        <v>2.575431789570521E-12</v>
      </c>
      <c r="O77" s="477">
        <f t="shared" si="3"/>
        <v>1.2817809542685387E-12</v>
      </c>
      <c r="P77" s="477">
        <f t="shared" si="3"/>
        <v>8.43873129472918E-7</v>
      </c>
      <c r="Q77" s="477">
        <f t="shared" si="3"/>
        <v>7.8974542686300079E-4</v>
      </c>
      <c r="R77" s="478">
        <f t="shared" si="3"/>
        <v>1.8634383025700607E-8</v>
      </c>
      <c r="S77" s="516">
        <f>SUM(G30:G31)*35.315*$G$5*0.001055/FUELMJPROD</f>
        <v>5.8924186879853414E-3</v>
      </c>
    </row>
    <row r="78" spans="1:19" s="403" customFormat="1" x14ac:dyDescent="0.25">
      <c r="A78" s="81"/>
      <c r="C78" s="104"/>
      <c r="D78" s="154"/>
      <c r="E78" s="3"/>
      <c r="F78" s="653" t="s">
        <v>309</v>
      </c>
      <c r="G78" s="654"/>
      <c r="H78" s="655"/>
      <c r="I78" s="476">
        <f>SUM(I23:I24)</f>
        <v>1.0766980277774424E-5</v>
      </c>
      <c r="J78" s="477">
        <f t="shared" ref="J78:R78" si="4">SUM(J23:J24)</f>
        <v>2.5369962865019496E-2</v>
      </c>
      <c r="K78" s="477">
        <f t="shared" si="4"/>
        <v>1.1883522057364198E-7</v>
      </c>
      <c r="L78" s="477">
        <f t="shared" si="4"/>
        <v>1.5011893191885489E-2</v>
      </c>
      <c r="M78" s="477">
        <f t="shared" si="4"/>
        <v>2.1366267931682359E-11</v>
      </c>
      <c r="N78" s="477">
        <f t="shared" si="4"/>
        <v>1.6971137078937241E-9</v>
      </c>
      <c r="O78" s="477">
        <f t="shared" si="4"/>
        <v>3.7003759805224744E-9</v>
      </c>
      <c r="P78" s="477">
        <f t="shared" si="4"/>
        <v>2.6077749991163651E-4</v>
      </c>
      <c r="Q78" s="477">
        <f t="shared" si="4"/>
        <v>0.23058849607187898</v>
      </c>
      <c r="R78" s="478">
        <f t="shared" si="4"/>
        <v>2.4751678799481429E-6</v>
      </c>
      <c r="S78" s="516">
        <f>SUM(G23:G24)*$G$6/FUELMJPROD</f>
        <v>0.17558840940352127</v>
      </c>
    </row>
    <row r="79" spans="1:19" s="403" customFormat="1" x14ac:dyDescent="0.25">
      <c r="A79" s="81"/>
      <c r="C79" s="104"/>
      <c r="D79" s="154"/>
      <c r="E79" s="3"/>
      <c r="F79" s="653" t="s">
        <v>733</v>
      </c>
      <c r="G79" s="654"/>
      <c r="H79" s="655"/>
      <c r="I79" s="476">
        <f>SUM(I27,I32)</f>
        <v>0</v>
      </c>
      <c r="J79" s="477">
        <f t="shared" ref="J79:R79" si="5">SUM(J27,J32)</f>
        <v>0</v>
      </c>
      <c r="K79" s="477">
        <f t="shared" si="5"/>
        <v>0</v>
      </c>
      <c r="L79" s="477">
        <f t="shared" si="5"/>
        <v>0</v>
      </c>
      <c r="M79" s="477">
        <f t="shared" si="5"/>
        <v>0</v>
      </c>
      <c r="N79" s="477">
        <f t="shared" si="5"/>
        <v>0</v>
      </c>
      <c r="O79" s="477">
        <f t="shared" si="5"/>
        <v>0</v>
      </c>
      <c r="P79" s="477">
        <f t="shared" si="5"/>
        <v>0</v>
      </c>
      <c r="Q79" s="477">
        <f t="shared" si="5"/>
        <v>0</v>
      </c>
      <c r="R79" s="478">
        <f t="shared" si="5"/>
        <v>0</v>
      </c>
      <c r="S79" s="516">
        <v>0</v>
      </c>
    </row>
    <row r="80" spans="1:19" s="403" customFormat="1" x14ac:dyDescent="0.25">
      <c r="A80" s="81"/>
      <c r="C80" s="104"/>
      <c r="D80" s="154"/>
      <c r="E80" s="3"/>
      <c r="F80" s="653" t="s">
        <v>436</v>
      </c>
      <c r="G80" s="654"/>
      <c r="H80" s="655"/>
      <c r="I80" s="476">
        <f>SUM(I33)</f>
        <v>2.655823916212321E-5</v>
      </c>
      <c r="J80" s="477">
        <f t="shared" ref="J80:R80" si="6">SUM(J33)</f>
        <v>1.823803193530911E-2</v>
      </c>
      <c r="K80" s="477">
        <f t="shared" si="6"/>
        <v>2.3240240656902986E-5</v>
      </c>
      <c r="L80" s="477">
        <f t="shared" si="6"/>
        <v>4.0608905992778272E-3</v>
      </c>
      <c r="M80" s="477">
        <f t="shared" si="6"/>
        <v>2.9120432524034205E-10</v>
      </c>
      <c r="N80" s="477">
        <f t="shared" si="6"/>
        <v>8.0969988439462106E-10</v>
      </c>
      <c r="O80" s="477">
        <f t="shared" si="6"/>
        <v>2.1123663860618592E-10</v>
      </c>
      <c r="P80" s="477">
        <f t="shared" si="6"/>
        <v>2.521904637349394E-4</v>
      </c>
      <c r="Q80" s="477">
        <f t="shared" si="6"/>
        <v>2.8017160350808042E-3</v>
      </c>
      <c r="R80" s="478">
        <f t="shared" si="6"/>
        <v>6.8850085430298803E-6</v>
      </c>
      <c r="S80" s="516">
        <f>(G33/1000)*3600/FUELMJPROD</f>
        <v>2.2437553766555009E-2</v>
      </c>
    </row>
    <row r="81" spans="1:19" s="403" customFormat="1" x14ac:dyDescent="0.25">
      <c r="A81" s="81"/>
      <c r="C81" s="104"/>
      <c r="D81" s="154"/>
      <c r="E81" s="3"/>
      <c r="F81" s="653" t="s">
        <v>736</v>
      </c>
      <c r="G81" s="654"/>
      <c r="H81" s="655"/>
      <c r="I81" s="476">
        <f>SUM(I49:I51)</f>
        <v>0</v>
      </c>
      <c r="J81" s="477">
        <f t="shared" ref="J81:R81" si="7">SUM(J49:J51)</f>
        <v>0</v>
      </c>
      <c r="K81" s="477">
        <f t="shared" si="7"/>
        <v>0</v>
      </c>
      <c r="L81" s="477">
        <f t="shared" si="7"/>
        <v>1.4871246720429172E-2</v>
      </c>
      <c r="M81" s="477">
        <f t="shared" si="7"/>
        <v>0</v>
      </c>
      <c r="N81" s="477">
        <f t="shared" si="7"/>
        <v>0</v>
      </c>
      <c r="O81" s="477">
        <f t="shared" si="7"/>
        <v>0</v>
      </c>
      <c r="P81" s="477">
        <f t="shared" si="7"/>
        <v>0</v>
      </c>
      <c r="Q81" s="477">
        <f t="shared" si="7"/>
        <v>0</v>
      </c>
      <c r="R81" s="478">
        <f t="shared" si="7"/>
        <v>0</v>
      </c>
      <c r="S81" s="516">
        <v>0</v>
      </c>
    </row>
    <row r="82" spans="1:19" s="403" customFormat="1" x14ac:dyDescent="0.25">
      <c r="A82" s="81"/>
      <c r="C82" s="104"/>
      <c r="D82" s="154"/>
      <c r="E82" s="3"/>
      <c r="F82" s="653" t="s">
        <v>732</v>
      </c>
      <c r="G82" s="654"/>
      <c r="H82" s="655"/>
      <c r="I82" s="476">
        <f>SUM(I52:I53)</f>
        <v>0</v>
      </c>
      <c r="J82" s="477">
        <f t="shared" ref="J82:R82" si="8">SUM(J52:J53)</f>
        <v>0</v>
      </c>
      <c r="K82" s="477">
        <f t="shared" si="8"/>
        <v>3.3923893129846061E-3</v>
      </c>
      <c r="L82" s="477">
        <f t="shared" si="8"/>
        <v>0</v>
      </c>
      <c r="M82" s="477">
        <f t="shared" si="8"/>
        <v>0</v>
      </c>
      <c r="N82" s="477">
        <f t="shared" si="8"/>
        <v>0</v>
      </c>
      <c r="O82" s="477">
        <f t="shared" si="8"/>
        <v>0</v>
      </c>
      <c r="P82" s="477">
        <f t="shared" si="8"/>
        <v>0</v>
      </c>
      <c r="Q82" s="477">
        <f t="shared" si="8"/>
        <v>0</v>
      </c>
      <c r="R82" s="478">
        <f t="shared" si="8"/>
        <v>0</v>
      </c>
      <c r="S82" s="516">
        <v>0</v>
      </c>
    </row>
    <row r="83" spans="1:19" s="403" customFormat="1" x14ac:dyDescent="0.25">
      <c r="A83" s="81"/>
      <c r="C83" s="104"/>
      <c r="D83" s="154"/>
      <c r="E83" s="3"/>
      <c r="F83" s="653" t="s">
        <v>735</v>
      </c>
      <c r="G83" s="654"/>
      <c r="H83" s="655"/>
      <c r="I83" s="476">
        <f>SUM(I38:I40)</f>
        <v>-4.0709644923847005E-5</v>
      </c>
      <c r="J83" s="477">
        <f t="shared" ref="J83:R83" si="9">SUM(J38:J40)</f>
        <v>-3.8425705204993416E-2</v>
      </c>
      <c r="K83" s="477">
        <f t="shared" si="9"/>
        <v>-2.5954393901149517E-5</v>
      </c>
      <c r="L83" s="477">
        <f t="shared" si="9"/>
        <v>-7.707049885484399E-3</v>
      </c>
      <c r="M83" s="477">
        <f t="shared" si="9"/>
        <v>-2.3144235557266893E-10</v>
      </c>
      <c r="N83" s="477">
        <f t="shared" si="9"/>
        <v>-1.9458796845270997E-9</v>
      </c>
      <c r="O83" s="477">
        <f t="shared" si="9"/>
        <v>-1.3908936580574773E-9</v>
      </c>
      <c r="P83" s="477">
        <f t="shared" si="9"/>
        <v>-3.1269864280916981E-4</v>
      </c>
      <c r="Q83" s="477">
        <f t="shared" si="9"/>
        <v>-1.9491662377997088E-2</v>
      </c>
      <c r="R83" s="478">
        <f t="shared" si="9"/>
        <v>-6.0173984861191631E-6</v>
      </c>
      <c r="S83" s="516">
        <v>0</v>
      </c>
    </row>
    <row r="84" spans="1:19" s="403" customFormat="1" x14ac:dyDescent="0.25">
      <c r="A84" s="81"/>
      <c r="C84" s="104"/>
      <c r="D84" s="154"/>
      <c r="E84" s="3"/>
      <c r="F84" s="653" t="s">
        <v>768</v>
      </c>
      <c r="G84" s="654"/>
      <c r="H84" s="655"/>
      <c r="I84" s="476">
        <f>SUM(I66)</f>
        <v>0</v>
      </c>
      <c r="J84" s="477">
        <f t="shared" ref="J84:R85" si="10">SUM(J66)</f>
        <v>0</v>
      </c>
      <c r="K84" s="477">
        <f t="shared" si="10"/>
        <v>0</v>
      </c>
      <c r="L84" s="477">
        <f t="shared" si="10"/>
        <v>0</v>
      </c>
      <c r="M84" s="477">
        <f t="shared" si="10"/>
        <v>0</v>
      </c>
      <c r="N84" s="477">
        <f t="shared" si="10"/>
        <v>0</v>
      </c>
      <c r="O84" s="477">
        <f t="shared" si="10"/>
        <v>0</v>
      </c>
      <c r="P84" s="477">
        <f t="shared" si="10"/>
        <v>0</v>
      </c>
      <c r="Q84" s="477">
        <f t="shared" si="10"/>
        <v>7.4088373282872773E-3</v>
      </c>
      <c r="R84" s="478">
        <f t="shared" si="10"/>
        <v>0</v>
      </c>
      <c r="S84" s="538">
        <f>Q66</f>
        <v>7.4088373282872773E-3</v>
      </c>
    </row>
    <row r="85" spans="1:19" s="403" customFormat="1" x14ac:dyDescent="0.25">
      <c r="A85" s="81"/>
      <c r="C85" s="104"/>
      <c r="D85" s="154"/>
      <c r="E85" s="3"/>
      <c r="F85" s="653" t="s">
        <v>734</v>
      </c>
      <c r="G85" s="654"/>
      <c r="H85" s="655"/>
      <c r="I85" s="476">
        <f>SUM(I67)</f>
        <v>2.4842010746425882E-5</v>
      </c>
      <c r="J85" s="477">
        <f t="shared" si="10"/>
        <v>0</v>
      </c>
      <c r="K85" s="477">
        <f t="shared" si="10"/>
        <v>1.5391222741973158E-6</v>
      </c>
      <c r="L85" s="477">
        <f t="shared" si="10"/>
        <v>7.5743998714053851E-2</v>
      </c>
      <c r="M85" s="477">
        <f t="shared" si="10"/>
        <v>0</v>
      </c>
      <c r="N85" s="477">
        <f t="shared" si="10"/>
        <v>0</v>
      </c>
      <c r="O85" s="477">
        <f t="shared" si="10"/>
        <v>0</v>
      </c>
      <c r="P85" s="477">
        <f t="shared" si="10"/>
        <v>1.0195463401605773E-3</v>
      </c>
      <c r="Q85" s="477">
        <f t="shared" si="10"/>
        <v>0</v>
      </c>
      <c r="R85" s="478">
        <f t="shared" si="10"/>
        <v>4.4968027848137342E-6</v>
      </c>
      <c r="S85" s="516">
        <v>0</v>
      </c>
    </row>
    <row r="86" spans="1:19" s="403" customFormat="1" ht="15.75" thickBot="1" x14ac:dyDescent="0.3">
      <c r="F86" s="667" t="s">
        <v>729</v>
      </c>
      <c r="G86" s="668"/>
      <c r="H86" s="669"/>
      <c r="I86" s="479"/>
      <c r="J86" s="480"/>
      <c r="K86" s="480"/>
      <c r="L86" s="480"/>
      <c r="M86" s="480"/>
      <c r="N86" s="480"/>
      <c r="O86" s="480"/>
      <c r="P86" s="480"/>
      <c r="Q86" s="480"/>
      <c r="R86" s="481"/>
      <c r="S86" s="517"/>
    </row>
    <row r="87" spans="1:19" s="500" customFormat="1" ht="19.5" thickBot="1" x14ac:dyDescent="0.35">
      <c r="B87" s="403"/>
      <c r="C87" s="403"/>
      <c r="D87" s="403"/>
      <c r="E87" s="403"/>
      <c r="F87" s="650" t="s">
        <v>725</v>
      </c>
      <c r="G87" s="651"/>
      <c r="H87" s="652"/>
      <c r="I87" s="501">
        <f>SUM(I76:I85)</f>
        <v>1.8600177178232063E-4</v>
      </c>
      <c r="J87" s="502">
        <f t="shared" ref="J87:R87" si="11">SUM(J76:J85)</f>
        <v>0.13492288381709025</v>
      </c>
      <c r="K87" s="502">
        <f t="shared" si="11"/>
        <v>3.5207125318063564E-3</v>
      </c>
      <c r="L87" s="502">
        <f t="shared" si="11"/>
        <v>2.2672436031918528E-2</v>
      </c>
      <c r="M87" s="502">
        <f t="shared" si="11"/>
        <v>1.540540002002434E-9</v>
      </c>
      <c r="N87" s="502">
        <f t="shared" si="11"/>
        <v>6.716346532967955E-9</v>
      </c>
      <c r="O87" s="502">
        <f t="shared" si="11"/>
        <v>5.3674615522801367E-9</v>
      </c>
      <c r="P87" s="502">
        <f t="shared" si="11"/>
        <v>2.6521452808301784E-3</v>
      </c>
      <c r="Q87" s="502">
        <f t="shared" si="11"/>
        <v>0.26129699123690242</v>
      </c>
      <c r="R87" s="503">
        <f t="shared" si="11"/>
        <v>4.3221115717167306E-5</v>
      </c>
      <c r="S87" s="561">
        <f t="shared" ref="S87" si="12">SUM(S76:S85)</f>
        <v>0.29571178024390626</v>
      </c>
    </row>
    <row r="88" spans="1:19" x14ac:dyDescent="0.25">
      <c r="A88" s="403"/>
      <c r="B88" s="403"/>
      <c r="C88" s="403"/>
      <c r="D88" s="403"/>
      <c r="E88" s="403"/>
      <c r="F88" s="403"/>
      <c r="G88" s="403"/>
      <c r="H88" s="403"/>
      <c r="I88" s="513"/>
      <c r="J88" s="513"/>
      <c r="K88" s="513"/>
      <c r="L88" s="513"/>
      <c r="M88" s="513"/>
      <c r="N88" s="513"/>
      <c r="O88" s="513"/>
      <c r="P88" s="513"/>
      <c r="Q88" s="513"/>
      <c r="R88" s="513"/>
    </row>
    <row r="89" spans="1:19" x14ac:dyDescent="0.25">
      <c r="A89" s="403"/>
      <c r="B89" s="403"/>
      <c r="C89" s="403"/>
      <c r="D89" s="403"/>
      <c r="E89" s="403"/>
      <c r="F89" s="403"/>
      <c r="G89" s="403"/>
      <c r="H89" s="403"/>
    </row>
    <row r="90" spans="1:19" x14ac:dyDescent="0.25">
      <c r="A90" s="403"/>
      <c r="B90" s="403"/>
      <c r="C90" s="403"/>
      <c r="D90" s="403"/>
      <c r="E90" s="403"/>
      <c r="F90" s="403"/>
      <c r="G90" s="403"/>
      <c r="H90" s="403"/>
    </row>
    <row r="91" spans="1:19" x14ac:dyDescent="0.25">
      <c r="A91" s="403"/>
      <c r="B91" s="403"/>
      <c r="C91" s="403"/>
      <c r="D91" s="403"/>
      <c r="E91" s="403"/>
      <c r="F91" s="403"/>
      <c r="G91" s="403"/>
      <c r="H91" s="403"/>
    </row>
    <row r="92" spans="1:19" x14ac:dyDescent="0.25">
      <c r="A92" s="403"/>
      <c r="B92" s="403"/>
      <c r="C92" s="403"/>
      <c r="D92" s="403"/>
      <c r="E92" s="403"/>
      <c r="F92" s="403"/>
      <c r="G92" s="403"/>
      <c r="H92" s="403"/>
    </row>
    <row r="93" spans="1:19" x14ac:dyDescent="0.25">
      <c r="A93" s="403"/>
      <c r="B93" s="403"/>
      <c r="C93" s="403"/>
      <c r="D93" s="403"/>
      <c r="E93" s="403"/>
      <c r="F93" s="403"/>
      <c r="G93" s="403"/>
      <c r="H93" s="403"/>
    </row>
    <row r="94" spans="1:19" x14ac:dyDescent="0.25">
      <c r="A94" s="403"/>
      <c r="B94" s="403"/>
      <c r="C94" s="403"/>
      <c r="D94" s="403"/>
      <c r="E94" s="403"/>
      <c r="F94" s="403"/>
      <c r="G94" s="403"/>
      <c r="H94" s="403"/>
    </row>
  </sheetData>
  <mergeCells count="22">
    <mergeCell ref="F72:H72"/>
    <mergeCell ref="F74:H75"/>
    <mergeCell ref="F86:H86"/>
    <mergeCell ref="F85:H85"/>
    <mergeCell ref="F83:H83"/>
    <mergeCell ref="F82:H82"/>
    <mergeCell ref="F76:H76"/>
    <mergeCell ref="F77:H77"/>
    <mergeCell ref="A64:H64"/>
    <mergeCell ref="A56:H56"/>
    <mergeCell ref="A1:D1"/>
    <mergeCell ref="G1:L1"/>
    <mergeCell ref="A9:L9"/>
    <mergeCell ref="A19:H19"/>
    <mergeCell ref="A47:H47"/>
    <mergeCell ref="I18:R18"/>
    <mergeCell ref="F87:H87"/>
    <mergeCell ref="F81:H81"/>
    <mergeCell ref="F80:H80"/>
    <mergeCell ref="F79:H79"/>
    <mergeCell ref="F78:H78"/>
    <mergeCell ref="F84:H84"/>
  </mergeCell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01">
    <tabColor theme="7"/>
  </sheetPr>
  <dimension ref="B1:AD16"/>
  <sheetViews>
    <sheetView workbookViewId="0">
      <selection activeCell="O1" sqref="O1:U1"/>
    </sheetView>
  </sheetViews>
  <sheetFormatPr defaultRowHeight="15" x14ac:dyDescent="0.25"/>
  <cols>
    <col min="2" max="2" width="20" bestFit="1" customWidth="1"/>
    <col min="3" max="3" width="17.5703125" bestFit="1" customWidth="1"/>
    <col min="4" max="4" width="17.7109375" bestFit="1" customWidth="1"/>
    <col min="5" max="6" width="17.7109375" style="403" customWidth="1"/>
    <col min="7" max="7" width="15" style="403" customWidth="1"/>
    <col min="8" max="8" width="19.140625" style="403" bestFit="1" customWidth="1"/>
    <col min="9" max="9" width="19" style="403" bestFit="1" customWidth="1"/>
    <col min="10" max="11" width="20.85546875" style="403" bestFit="1" customWidth="1"/>
    <col min="13" max="13" width="31.140625" bestFit="1" customWidth="1"/>
    <col min="14" max="14" width="9.140625" style="403"/>
    <col min="15" max="15" width="31.140625" style="403" bestFit="1" customWidth="1"/>
    <col min="16" max="16" width="10.5703125" style="403" bestFit="1" customWidth="1"/>
    <col min="17" max="17" width="16.5703125" style="403" bestFit="1" customWidth="1"/>
    <col min="18" max="18" width="14.28515625" style="403" bestFit="1" customWidth="1"/>
    <col min="19" max="19" width="18.5703125" style="403" bestFit="1" customWidth="1"/>
    <col min="20" max="20" width="16.7109375" style="403" bestFit="1" customWidth="1"/>
    <col min="21" max="21" width="13.7109375" style="403" bestFit="1" customWidth="1"/>
    <col min="22" max="23" width="18.42578125" bestFit="1" customWidth="1"/>
    <col min="24" max="24" width="20.42578125" bestFit="1" customWidth="1"/>
    <col min="25" max="25" width="17.42578125" bestFit="1" customWidth="1"/>
    <col min="26" max="26" width="15.7109375" style="403" bestFit="1" customWidth="1"/>
    <col min="27" max="27" width="18.85546875" bestFit="1" customWidth="1"/>
    <col min="28" max="28" width="17.42578125" bestFit="1" customWidth="1"/>
    <col min="29" max="29" width="25.7109375" bestFit="1" customWidth="1"/>
  </cols>
  <sheetData>
    <row r="1" spans="2:30" ht="19.5" thickBot="1" x14ac:dyDescent="0.35">
      <c r="B1" s="678" t="s">
        <v>783</v>
      </c>
      <c r="C1" s="679"/>
      <c r="D1" s="679"/>
      <c r="E1" s="679"/>
      <c r="F1" s="679"/>
      <c r="G1" s="679"/>
      <c r="H1" s="680"/>
      <c r="J1" s="546" t="s">
        <v>781</v>
      </c>
      <c r="K1" s="547"/>
      <c r="L1" s="547"/>
      <c r="M1" s="548"/>
      <c r="N1"/>
      <c r="O1" s="678" t="s">
        <v>745</v>
      </c>
      <c r="P1" s="679"/>
      <c r="Q1" s="679"/>
      <c r="R1" s="679"/>
      <c r="S1" s="679"/>
      <c r="T1" s="679"/>
      <c r="U1" s="680"/>
      <c r="V1" s="403"/>
      <c r="W1" s="678" t="s">
        <v>714</v>
      </c>
      <c r="X1" s="679"/>
      <c r="Y1" s="679"/>
      <c r="Z1" s="679"/>
      <c r="AA1" s="679"/>
      <c r="AB1" s="679"/>
      <c r="AC1" s="680"/>
    </row>
    <row r="2" spans="2:30" ht="19.5" thickBot="1" x14ac:dyDescent="0.4">
      <c r="B2" s="550" t="s">
        <v>709</v>
      </c>
      <c r="C2" s="676" t="s">
        <v>782</v>
      </c>
      <c r="D2" s="677"/>
      <c r="E2" s="676" t="s">
        <v>775</v>
      </c>
      <c r="F2" s="677"/>
      <c r="G2" s="676" t="s">
        <v>713</v>
      </c>
      <c r="H2" s="677"/>
      <c r="J2" s="523" t="s">
        <v>712</v>
      </c>
      <c r="K2" s="524" t="s">
        <v>750</v>
      </c>
      <c r="L2" s="524" t="s">
        <v>780</v>
      </c>
      <c r="M2" s="525" t="s">
        <v>780</v>
      </c>
      <c r="N2"/>
      <c r="O2" s="562" t="s">
        <v>744</v>
      </c>
      <c r="P2" s="562" t="s">
        <v>786</v>
      </c>
      <c r="Q2" s="523" t="s">
        <v>787</v>
      </c>
      <c r="R2" s="525" t="s">
        <v>789</v>
      </c>
      <c r="S2" s="523" t="s">
        <v>788</v>
      </c>
      <c r="T2" s="525" t="s">
        <v>790</v>
      </c>
      <c r="U2" s="525" t="s">
        <v>746</v>
      </c>
      <c r="V2" s="403"/>
      <c r="W2" s="520" t="s">
        <v>715</v>
      </c>
      <c r="X2" s="526" t="s">
        <v>716</v>
      </c>
      <c r="Y2" s="526" t="s">
        <v>224</v>
      </c>
      <c r="Z2" s="526" t="s">
        <v>717</v>
      </c>
      <c r="AA2" s="526" t="s">
        <v>718</v>
      </c>
      <c r="AB2" s="526" t="s">
        <v>719</v>
      </c>
      <c r="AC2" s="521" t="s">
        <v>720</v>
      </c>
    </row>
    <row r="3" spans="2:30" ht="18.75" thickBot="1" x14ac:dyDescent="0.4">
      <c r="B3" s="551"/>
      <c r="C3" s="555" t="str">
        <f>"[" &amp; COSTYEAR &amp; "$ per GGE]"</f>
        <v>[2019$ per GGE]</v>
      </c>
      <c r="D3" s="522" t="str">
        <f>"[" &amp; COSTYEAR &amp; "$ per LGE]"</f>
        <v>[2019$ per LGE]</v>
      </c>
      <c r="E3" s="555" t="str">
        <f>"[" &amp; COSTYEAR &amp; "$ per GGE]"</f>
        <v>[2019$ per GGE]</v>
      </c>
      <c r="F3" s="522" t="str">
        <f>"[" &amp; COSTYEAR &amp; "$ per LGE]"</f>
        <v>[2019$ per LGE]</v>
      </c>
      <c r="G3" s="555" t="str">
        <f>"[" &amp; COSTYEAR &amp; "$ per GGE]"</f>
        <v>[2019$ per GGE]</v>
      </c>
      <c r="H3" s="522" t="str">
        <f>"[" &amp; COSTYEAR &amp; "$ per LGE]"</f>
        <v>[2019$ per LGE]</v>
      </c>
      <c r="J3" s="79" t="s">
        <v>776</v>
      </c>
      <c r="K3" s="542">
        <f ca="1">CAPEX!U13/ISBL</f>
        <v>0.56632512452646266</v>
      </c>
      <c r="L3" s="539">
        <f ca="1">$K3*$E$11</f>
        <v>0.48922230889912083</v>
      </c>
      <c r="M3" s="494">
        <f ca="1">$K3*$F$11</f>
        <v>0.12925292176991302</v>
      </c>
      <c r="N3"/>
      <c r="O3" s="99" t="s">
        <v>415</v>
      </c>
      <c r="P3" s="100">
        <f t="array" ref="P3:P13">TRANSPOSE(LifeCycleAssessment!I87:S87)</f>
        <v>1.8600177178232063E-4</v>
      </c>
      <c r="Q3" s="476">
        <v>1.1946260943049164E-4</v>
      </c>
      <c r="R3" s="563">
        <f>P3/Q3</f>
        <v>1.5569873508459084</v>
      </c>
      <c r="S3" s="565">
        <v>1.4449311907549359E-4</v>
      </c>
      <c r="T3" s="566">
        <f>P3/S3</f>
        <v>1.2872707916640649</v>
      </c>
      <c r="U3" s="518" t="s">
        <v>747</v>
      </c>
      <c r="V3" s="403"/>
      <c r="W3" s="82">
        <f>HTLEquipSize!G6</f>
        <v>350</v>
      </c>
      <c r="X3" s="124">
        <f>HTLEquipSize!S5</f>
        <v>4832.5428523389801</v>
      </c>
      <c r="Y3" s="124">
        <f>HTLEquipSize!I12</f>
        <v>3267.463447660778</v>
      </c>
      <c r="Z3" s="124">
        <f>SUM(OPEX!D29:D30)</f>
        <v>27.234051999999998</v>
      </c>
      <c r="AA3" s="498">
        <f>LifeCycleAssessment!L87*1000</f>
        <v>22.672436031918526</v>
      </c>
      <c r="AB3" s="123">
        <f>LifeCycleAssessment!S87</f>
        <v>0.29571178024390626</v>
      </c>
      <c r="AC3" s="499">
        <f>LifeCycleAssessment!Q87</f>
        <v>0.26129699123690242</v>
      </c>
    </row>
    <row r="4" spans="2:30" x14ac:dyDescent="0.25">
      <c r="B4" s="552" t="s">
        <v>275</v>
      </c>
      <c r="C4" s="556">
        <f ca="1">MFSP*(NPVOPEX/NPVTOTAL)*SUM(OPEX!L29:L30)/OPEX!$K$69</f>
        <v>6.6258942295702181E-3</v>
      </c>
      <c r="D4" s="494">
        <f ca="1">C4/3.785</f>
        <v>1.750566507151973E-3</v>
      </c>
      <c r="E4" s="556">
        <v>0</v>
      </c>
      <c r="F4" s="494">
        <v>0</v>
      </c>
      <c r="G4" s="556">
        <v>0</v>
      </c>
      <c r="H4" s="494">
        <v>0</v>
      </c>
      <c r="J4" s="81" t="s">
        <v>777</v>
      </c>
      <c r="K4" s="357">
        <f ca="1">CAPEX!U28/ISBL</f>
        <v>0.3224765821176247</v>
      </c>
      <c r="L4" s="372">
        <f ca="1">$K4*$E$11</f>
        <v>0.27857273364199742</v>
      </c>
      <c r="M4" s="493">
        <f ca="1">$K4*$F$11</f>
        <v>7.3599137025626787E-2</v>
      </c>
      <c r="N4"/>
      <c r="O4" s="99" t="s">
        <v>416</v>
      </c>
      <c r="P4" s="100">
        <v>0.13492288381709025</v>
      </c>
      <c r="Q4" s="476">
        <v>7.1125958070739168E-2</v>
      </c>
      <c r="R4" s="563">
        <f t="shared" ref="R4:R13" si="0">P4/Q4</f>
        <v>1.8969569968098159</v>
      </c>
      <c r="S4" s="476">
        <v>1.937926259736163E-2</v>
      </c>
      <c r="T4" s="563">
        <f t="shared" ref="T4:T13" si="1">P4/S4</f>
        <v>6.9622300198078326</v>
      </c>
      <c r="U4" s="518" t="s">
        <v>425</v>
      </c>
      <c r="V4" s="403"/>
      <c r="Z4"/>
      <c r="AB4" s="403"/>
    </row>
    <row r="5" spans="2:30" x14ac:dyDescent="0.25">
      <c r="B5" s="99" t="s">
        <v>309</v>
      </c>
      <c r="C5" s="557">
        <f ca="1">MFSP*(NPVOPEX/NPVTOTAL)*SUM(OPEX!L20:L21)/OPEX!$K$69</f>
        <v>0.49638624688503047</v>
      </c>
      <c r="D5" s="493">
        <f t="shared" ref="D5:D9" ca="1" si="2">C5/3.785</f>
        <v>0.13114563986394465</v>
      </c>
      <c r="E5" s="557">
        <v>0</v>
      </c>
      <c r="F5" s="493">
        <v>0</v>
      </c>
      <c r="G5" s="557">
        <v>0</v>
      </c>
      <c r="H5" s="493">
        <v>0</v>
      </c>
      <c r="J5" s="81" t="s">
        <v>778</v>
      </c>
      <c r="K5" s="357">
        <f ca="1">CAPEX!U35/ISBL</f>
        <v>6.7638749692058228E-2</v>
      </c>
      <c r="L5" s="372">
        <f ca="1">$K5*$E$11</f>
        <v>5.8430014601713487E-2</v>
      </c>
      <c r="M5" s="493">
        <f ca="1">$K5*$F$11</f>
        <v>1.5437256169541213E-2</v>
      </c>
      <c r="N5"/>
      <c r="O5" s="99" t="s">
        <v>417</v>
      </c>
      <c r="P5" s="100">
        <v>3.5207125318063564E-3</v>
      </c>
      <c r="Q5" s="476">
        <v>7.1299659785171331E-5</v>
      </c>
      <c r="R5" s="563">
        <f t="shared" si="0"/>
        <v>49.379093005694571</v>
      </c>
      <c r="S5" s="476">
        <v>4.0469167518022899E-5</v>
      </c>
      <c r="T5" s="563">
        <f t="shared" si="1"/>
        <v>86.997404387881488</v>
      </c>
      <c r="U5" s="518" t="s">
        <v>426</v>
      </c>
      <c r="V5" s="403"/>
      <c r="Z5"/>
      <c r="AB5" s="403"/>
    </row>
    <row r="6" spans="2:30" ht="18.75" thickBot="1" x14ac:dyDescent="0.4">
      <c r="B6" s="99" t="s">
        <v>308</v>
      </c>
      <c r="C6" s="557">
        <f ca="1">MFSP*(NPVOPEX/NPVTOTAL)*SUM(OPEX!L31)/OPEX!$K$69</f>
        <v>1.7994604398663253E-3</v>
      </c>
      <c r="D6" s="493">
        <f t="shared" ca="1" si="2"/>
        <v>4.7541887446930656E-4</v>
      </c>
      <c r="E6" s="557">
        <v>0</v>
      </c>
      <c r="F6" s="493">
        <v>0</v>
      </c>
      <c r="G6" s="557">
        <v>0</v>
      </c>
      <c r="H6" s="493">
        <v>0</v>
      </c>
      <c r="J6" s="82" t="s">
        <v>779</v>
      </c>
      <c r="K6" s="365">
        <f ca="1">CAPEX!U52/ISBL</f>
        <v>4.3559543663854436E-2</v>
      </c>
      <c r="L6" s="540">
        <f ca="1">$K6*$E$11</f>
        <v>3.7629092552871841E-2</v>
      </c>
      <c r="M6" s="495">
        <f ca="1">$K6*$F$11</f>
        <v>9.9416360773769731E-3</v>
      </c>
      <c r="N6"/>
      <c r="O6" s="99" t="s">
        <v>739</v>
      </c>
      <c r="P6" s="100">
        <v>2.2672436031918528E-2</v>
      </c>
      <c r="Q6" s="476">
        <v>0.10082154249271635</v>
      </c>
      <c r="R6" s="563">
        <f t="shared" si="0"/>
        <v>0.22487690102099411</v>
      </c>
      <c r="S6" s="476">
        <v>8.8280415164332326E-2</v>
      </c>
      <c r="T6" s="563">
        <f t="shared" si="1"/>
        <v>0.25682294300173164</v>
      </c>
      <c r="U6" s="518" t="s">
        <v>748</v>
      </c>
      <c r="V6" s="403"/>
      <c r="Z6"/>
      <c r="AB6" s="403"/>
    </row>
    <row r="7" spans="2:30" ht="19.5" thickBot="1" x14ac:dyDescent="0.35">
      <c r="B7" s="99" t="s">
        <v>710</v>
      </c>
      <c r="C7" s="557">
        <f ca="1">-MFSP*(NPVOPEX/NPVTOTAL)*SUM(OPEX!L36:L40)/OPEX!$K$69</f>
        <v>-0.87970761883916626</v>
      </c>
      <c r="D7" s="493">
        <f t="shared" ca="1" si="2"/>
        <v>-0.23241945015565818</v>
      </c>
      <c r="E7" s="557">
        <v>0</v>
      </c>
      <c r="F7" s="493">
        <v>0</v>
      </c>
      <c r="G7" s="557">
        <v>0</v>
      </c>
      <c r="H7" s="493">
        <v>0</v>
      </c>
      <c r="J7" s="496" t="s">
        <v>774</v>
      </c>
      <c r="K7" s="543">
        <f ca="1">SUM(K3:K6)</f>
        <v>1</v>
      </c>
      <c r="L7" s="544">
        <f ca="1">SUM(L3:L6)</f>
        <v>0.86385414969570351</v>
      </c>
      <c r="M7" s="545">
        <f ca="1">SUM(M3:M6)</f>
        <v>0.228230951042458</v>
      </c>
      <c r="N7"/>
      <c r="O7" s="99" t="s">
        <v>740</v>
      </c>
      <c r="P7" s="100">
        <v>1.540540002002434E-9</v>
      </c>
      <c r="Q7" s="476">
        <v>7.5185564439898097E-10</v>
      </c>
      <c r="R7" s="563">
        <f t="shared" si="0"/>
        <v>2.0489837556967632</v>
      </c>
      <c r="S7" s="476">
        <v>3.673060175525593E-10</v>
      </c>
      <c r="T7" s="563">
        <f t="shared" si="1"/>
        <v>4.1941594430371456</v>
      </c>
      <c r="U7" s="518" t="s">
        <v>427</v>
      </c>
      <c r="V7" s="403"/>
      <c r="Z7"/>
      <c r="AB7" s="403"/>
    </row>
    <row r="8" spans="2:30" x14ac:dyDescent="0.25">
      <c r="B8" s="99" t="s">
        <v>436</v>
      </c>
      <c r="C8" s="557">
        <f ca="1">MFSP*(NPVOPEX/NPVTOTAL)*SUM(OPEX!L32)/OPEX!$K$69</f>
        <v>6.1235725708537032E-2</v>
      </c>
      <c r="D8" s="493">
        <f t="shared" ca="1" si="2"/>
        <v>1.6178527267777288E-2</v>
      </c>
      <c r="E8" s="557">
        <v>0</v>
      </c>
      <c r="F8" s="493">
        <v>0</v>
      </c>
      <c r="G8" s="557">
        <v>0</v>
      </c>
      <c r="H8" s="493">
        <v>0</v>
      </c>
      <c r="L8" s="403"/>
      <c r="M8" s="403"/>
      <c r="N8"/>
      <c r="O8" s="99" t="s">
        <v>741</v>
      </c>
      <c r="P8" s="100">
        <v>6.716346532967955E-9</v>
      </c>
      <c r="Q8" s="476">
        <v>2.8443182140022386E-9</v>
      </c>
      <c r="R8" s="563">
        <f t="shared" si="0"/>
        <v>2.3613203684117283</v>
      </c>
      <c r="S8" s="476">
        <v>7.7120255104552938E-10</v>
      </c>
      <c r="T8" s="563">
        <f t="shared" si="1"/>
        <v>8.7089267584274932</v>
      </c>
      <c r="U8" s="518" t="s">
        <v>427</v>
      </c>
      <c r="V8" s="403"/>
      <c r="Z8"/>
      <c r="AB8" s="403"/>
    </row>
    <row r="9" spans="2:30" x14ac:dyDescent="0.25">
      <c r="B9" s="99" t="s">
        <v>325</v>
      </c>
      <c r="C9" s="557">
        <f ca="1">MFSP*(NPVOPEX/NPVTOTAL)*SUM(OPEX!H67)/OPEX!$K$69</f>
        <v>0.91607577507889937</v>
      </c>
      <c r="D9" s="493">
        <f t="shared" ca="1" si="2"/>
        <v>0.24202794585968279</v>
      </c>
      <c r="E9" s="557">
        <v>0</v>
      </c>
      <c r="F9" s="493">
        <v>0</v>
      </c>
      <c r="G9" s="557">
        <v>0</v>
      </c>
      <c r="H9" s="493">
        <v>0</v>
      </c>
      <c r="L9" s="403"/>
      <c r="M9" s="403"/>
      <c r="N9"/>
      <c r="O9" s="99" t="s">
        <v>742</v>
      </c>
      <c r="P9" s="100">
        <v>5.3674615522801367E-9</v>
      </c>
      <c r="Q9" s="476">
        <v>2.8370355576143938E-9</v>
      </c>
      <c r="R9" s="563">
        <f t="shared" si="0"/>
        <v>1.8919260768072739</v>
      </c>
      <c r="S9" s="476">
        <v>2.0093917051745925E-8</v>
      </c>
      <c r="T9" s="563">
        <f t="shared" si="1"/>
        <v>0.26711872744661136</v>
      </c>
      <c r="U9" s="518" t="s">
        <v>428</v>
      </c>
      <c r="V9" s="403"/>
      <c r="Z9"/>
      <c r="AB9" s="403"/>
    </row>
    <row r="10" spans="2:30" ht="18.75" thickBot="1" x14ac:dyDescent="0.4">
      <c r="B10" s="105" t="s">
        <v>147</v>
      </c>
      <c r="C10" s="558">
        <f ca="1">MFSP*(NPVTAX/NPVTOTAL)</f>
        <v>0.14738837075516675</v>
      </c>
      <c r="D10" s="495">
        <f ca="1">C10/3.785</f>
        <v>3.8940124373888177E-2</v>
      </c>
      <c r="E10" s="558">
        <v>0</v>
      </c>
      <c r="F10" s="495">
        <v>0</v>
      </c>
      <c r="G10" s="558">
        <v>0</v>
      </c>
      <c r="H10" s="495">
        <v>0</v>
      </c>
      <c r="L10" s="403"/>
      <c r="M10" s="403"/>
      <c r="N10"/>
      <c r="O10" s="99" t="s">
        <v>422</v>
      </c>
      <c r="P10" s="100">
        <v>2.6521452808301784E-3</v>
      </c>
      <c r="Q10" s="476">
        <v>2.6155498578923886E-3</v>
      </c>
      <c r="R10" s="563">
        <f t="shared" si="0"/>
        <v>1.0139914835985113</v>
      </c>
      <c r="S10" s="476">
        <v>2.0153176615193748E-3</v>
      </c>
      <c r="T10" s="563">
        <f t="shared" si="1"/>
        <v>1.3159936676338611</v>
      </c>
      <c r="U10" s="518" t="s">
        <v>749</v>
      </c>
      <c r="V10" s="403"/>
      <c r="Z10"/>
      <c r="AB10" s="403"/>
    </row>
    <row r="11" spans="2:30" x14ac:dyDescent="0.25">
      <c r="B11" s="553" t="s">
        <v>711</v>
      </c>
      <c r="C11" s="556">
        <v>0</v>
      </c>
      <c r="D11" s="494">
        <v>0</v>
      </c>
      <c r="E11" s="560">
        <f ca="1">MFSP*(NPVCAPEX/NPVTOTAL)</f>
        <v>0.86385414969570351</v>
      </c>
      <c r="F11" s="549">
        <f ca="1">E11/3.785</f>
        <v>0.228230951042458</v>
      </c>
      <c r="G11" s="560">
        <v>0</v>
      </c>
      <c r="H11" s="549">
        <v>0</v>
      </c>
      <c r="L11" s="403"/>
      <c r="M11" s="403"/>
      <c r="N11"/>
      <c r="O11" s="99" t="s">
        <v>743</v>
      </c>
      <c r="P11" s="100">
        <v>0.26129699123690242</v>
      </c>
      <c r="Q11" s="476">
        <v>2.5693682250801882E-2</v>
      </c>
      <c r="R11" s="563">
        <f t="shared" si="0"/>
        <v>10.169698087114295</v>
      </c>
      <c r="S11" s="476">
        <v>0.16746252946192119</v>
      </c>
      <c r="T11" s="563">
        <f t="shared" si="1"/>
        <v>1.5603310906414916</v>
      </c>
      <c r="U11" s="518" t="s">
        <v>429</v>
      </c>
      <c r="V11" s="403"/>
      <c r="Z11"/>
      <c r="AB11" s="403"/>
    </row>
    <row r="12" spans="2:30" x14ac:dyDescent="0.25">
      <c r="B12" s="99" t="s">
        <v>776</v>
      </c>
      <c r="C12" s="557">
        <v>0</v>
      </c>
      <c r="D12" s="493">
        <v>0</v>
      </c>
      <c r="E12" s="557">
        <f ca="1">$K3*$E$11</f>
        <v>0.48922230889912083</v>
      </c>
      <c r="F12" s="493">
        <f ca="1">$K3*$F$11</f>
        <v>0.12925292176991302</v>
      </c>
      <c r="G12" s="557">
        <v>0</v>
      </c>
      <c r="H12" s="493">
        <v>0</v>
      </c>
      <c r="L12" s="403"/>
      <c r="M12" s="403"/>
      <c r="N12"/>
      <c r="O12" s="99" t="s">
        <v>424</v>
      </c>
      <c r="P12" s="100">
        <v>4.3221115717167306E-5</v>
      </c>
      <c r="Q12" s="476">
        <v>2.2879351152581387E-5</v>
      </c>
      <c r="R12" s="563">
        <f t="shared" si="0"/>
        <v>1.8890883499679507</v>
      </c>
      <c r="S12" s="476">
        <v>1.6222946276913708E-5</v>
      </c>
      <c r="T12" s="563">
        <f t="shared" si="1"/>
        <v>2.6641964399939932</v>
      </c>
      <c r="U12" s="518" t="s">
        <v>430</v>
      </c>
      <c r="V12" s="403"/>
      <c r="Z12"/>
      <c r="AB12" s="403"/>
    </row>
    <row r="13" spans="2:30" ht="15.75" thickBot="1" x14ac:dyDescent="0.3">
      <c r="B13" s="99" t="s">
        <v>777</v>
      </c>
      <c r="C13" s="557">
        <v>0</v>
      </c>
      <c r="D13" s="493">
        <v>0</v>
      </c>
      <c r="E13" s="557">
        <f ca="1">$K4*$E$11</f>
        <v>0.27857273364199742</v>
      </c>
      <c r="F13" s="493">
        <f ca="1">$K4*$F$11</f>
        <v>7.3599137025626787E-2</v>
      </c>
      <c r="G13" s="557">
        <v>0</v>
      </c>
      <c r="H13" s="493">
        <v>0</v>
      </c>
      <c r="L13" s="403"/>
      <c r="M13" s="403"/>
      <c r="N13"/>
      <c r="O13" s="105" t="s">
        <v>737</v>
      </c>
      <c r="P13" s="106">
        <v>0.29571178024390626</v>
      </c>
      <c r="Q13" s="479">
        <v>1.64</v>
      </c>
      <c r="R13" s="564">
        <f t="shared" si="0"/>
        <v>0.1803120611243331</v>
      </c>
      <c r="S13" s="479">
        <v>0.19</v>
      </c>
      <c r="T13" s="564">
        <f t="shared" si="1"/>
        <v>1.5563777907574015</v>
      </c>
      <c r="U13" s="519" t="s">
        <v>738</v>
      </c>
      <c r="V13" s="403"/>
      <c r="Z13"/>
      <c r="AB13" s="403"/>
    </row>
    <row r="14" spans="2:30" x14ac:dyDescent="0.25">
      <c r="B14" s="99" t="s">
        <v>778</v>
      </c>
      <c r="C14" s="557">
        <v>0</v>
      </c>
      <c r="D14" s="493">
        <v>0</v>
      </c>
      <c r="E14" s="557">
        <f ca="1">$K5*$E$11</f>
        <v>5.8430014601713487E-2</v>
      </c>
      <c r="F14" s="493">
        <f ca="1">$K5*$F$11</f>
        <v>1.5437256169541213E-2</v>
      </c>
      <c r="G14" s="557">
        <v>0</v>
      </c>
      <c r="H14" s="493">
        <v>0</v>
      </c>
      <c r="L14" s="403"/>
      <c r="M14" s="403"/>
      <c r="N14"/>
      <c r="O14"/>
      <c r="V14" s="403"/>
      <c r="Z14"/>
      <c r="AB14" s="403"/>
    </row>
    <row r="15" spans="2:30" ht="15.75" thickBot="1" x14ac:dyDescent="0.3">
      <c r="B15" s="105" t="s">
        <v>779</v>
      </c>
      <c r="C15" s="558">
        <v>0</v>
      </c>
      <c r="D15" s="495">
        <v>0</v>
      </c>
      <c r="E15" s="558">
        <f ca="1">$K6*$E$11</f>
        <v>3.7629092552871841E-2</v>
      </c>
      <c r="F15" s="495">
        <f ca="1">$K6*$F$11</f>
        <v>9.9416360773769731E-3</v>
      </c>
      <c r="G15" s="558">
        <v>0</v>
      </c>
      <c r="H15" s="495">
        <v>0</v>
      </c>
      <c r="L15" s="403"/>
      <c r="M15" s="403"/>
      <c r="N15"/>
      <c r="O15"/>
      <c r="V15" s="403"/>
      <c r="Z15"/>
      <c r="AB15" s="403"/>
    </row>
    <row r="16" spans="2:30" ht="19.5" thickBot="1" x14ac:dyDescent="0.35">
      <c r="B16" s="554" t="s">
        <v>713</v>
      </c>
      <c r="C16" s="559">
        <v>0</v>
      </c>
      <c r="D16" s="497">
        <v>0</v>
      </c>
      <c r="E16" s="559">
        <v>0</v>
      </c>
      <c r="F16" s="497">
        <v>0</v>
      </c>
      <c r="G16" s="559">
        <f ca="1">SUM(C4:C10,E11)</f>
        <v>1.6136580039536073</v>
      </c>
      <c r="H16" s="497">
        <f ca="1">SUM(D4:D10,F11)</f>
        <v>0.42632972363371396</v>
      </c>
      <c r="L16" s="403"/>
      <c r="M16" s="403"/>
      <c r="N16"/>
      <c r="O16"/>
      <c r="P16" s="513"/>
      <c r="Q16" s="513"/>
      <c r="R16" s="513"/>
      <c r="S16" s="513"/>
      <c r="T16" s="513"/>
      <c r="U16" s="513"/>
      <c r="V16" s="513"/>
      <c r="W16" s="513"/>
      <c r="X16" s="513"/>
      <c r="Y16" s="513"/>
      <c r="Z16" s="513"/>
      <c r="AA16" s="513"/>
      <c r="AB16" s="513"/>
      <c r="AC16" s="513"/>
      <c r="AD16" s="513"/>
    </row>
  </sheetData>
  <mergeCells count="6">
    <mergeCell ref="C2:D2"/>
    <mergeCell ref="W1:AC1"/>
    <mergeCell ref="O1:U1"/>
    <mergeCell ref="E2:F2"/>
    <mergeCell ref="G2:H2"/>
    <mergeCell ref="B1:H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37</vt:i4>
      </vt:variant>
    </vt:vector>
  </HeadingPairs>
  <TitlesOfParts>
    <vt:vector size="47" baseType="lpstr">
      <vt:lpstr>Setup</vt:lpstr>
      <vt:lpstr>StreamData</vt:lpstr>
      <vt:lpstr>HTLEquipSize</vt:lpstr>
      <vt:lpstr>CostIndex</vt:lpstr>
      <vt:lpstr>CAPEX</vt:lpstr>
      <vt:lpstr>OPEX</vt:lpstr>
      <vt:lpstr>DCFROR</vt:lpstr>
      <vt:lpstr>LifeCycleInventory</vt:lpstr>
      <vt:lpstr>LifeCycleAssessment</vt:lpstr>
      <vt:lpstr>Summary</vt:lpstr>
      <vt:lpstr>ASPENDIR</vt:lpstr>
      <vt:lpstr>ASPENEXT</vt:lpstr>
      <vt:lpstr>ASPENFILE</vt:lpstr>
      <vt:lpstr>ASPENNAME</vt:lpstr>
      <vt:lpstr>ASPENUNITS</vt:lpstr>
      <vt:lpstr>COSTTARGET</vt:lpstr>
      <vt:lpstr>COSTYEAR</vt:lpstr>
      <vt:lpstr>FCI</vt:lpstr>
      <vt:lpstr>FEEDAFDW</vt:lpstr>
      <vt:lpstr>FEEDPRICE</vt:lpstr>
      <vt:lpstr>FILEDATE</vt:lpstr>
      <vt:lpstr>FILETIME</vt:lpstr>
      <vt:lpstr>FUELGGE</vt:lpstr>
      <vt:lpstr>FUELMJPROD</vt:lpstr>
      <vt:lpstr>FUELPROD</vt:lpstr>
      <vt:lpstr>INDEX_CAP</vt:lpstr>
      <vt:lpstr>INDEX_CHEM</vt:lpstr>
      <vt:lpstr>INDEX_ELEC</vt:lpstr>
      <vt:lpstr>INDEX_LABOR</vt:lpstr>
      <vt:lpstr>ISBL</vt:lpstr>
      <vt:lpstr>LANDCOST</vt:lpstr>
      <vt:lpstr>MFSP</vt:lpstr>
      <vt:lpstr>NGTRANSPORT</vt:lpstr>
      <vt:lpstr>NPV</vt:lpstr>
      <vt:lpstr>NPVCAPEX</vt:lpstr>
      <vt:lpstr>NPVOPEX</vt:lpstr>
      <vt:lpstr>NPVTAX</vt:lpstr>
      <vt:lpstr>NPVTOTAL</vt:lpstr>
      <vt:lpstr>OPHOURS</vt:lpstr>
      <vt:lpstr>STARTFIXEDOPEX</vt:lpstr>
      <vt:lpstr>STARTFUEL</vt:lpstr>
      <vt:lpstr>STARTUP</vt:lpstr>
      <vt:lpstr>STARTVAROPEX</vt:lpstr>
      <vt:lpstr>STREAMDATA</vt:lpstr>
      <vt:lpstr>TCI</vt:lpstr>
      <vt:lpstr>UNITR1C1</vt:lpstr>
      <vt:lpstr>UPDAYS</vt:lpstr>
    </vt:vector>
  </TitlesOfParts>
  <Company>Colorado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Chen</dc:creator>
  <cp:lastModifiedBy>Peter Chen</cp:lastModifiedBy>
  <dcterms:created xsi:type="dcterms:W3CDTF">2020-08-17T21:04:09Z</dcterms:created>
  <dcterms:modified xsi:type="dcterms:W3CDTF">2021-05-10T21:40:14Z</dcterms:modified>
</cp:coreProperties>
</file>